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I-2025\INF-373(METODOS NUMERICOS)\"/>
    </mc:Choice>
  </mc:AlternateContent>
  <xr:revisionPtr revIDLastSave="0" documentId="8_{41EA9769-FEEB-457B-B1DC-1B3AC58CF154}" xr6:coauthVersionLast="47" xr6:coauthVersionMax="47" xr10:uidLastSave="{00000000-0000-0000-0000-000000000000}"/>
  <bookViews>
    <workbookView xWindow="-108" yWindow="-108" windowWidth="23256" windowHeight="12576" xr2:uid="{77D1E5F5-402D-461B-BDE6-900E87DDFE15}"/>
  </bookViews>
  <sheets>
    <sheet name="EJERCICIO_1" sheetId="7" r:id="rId1"/>
    <sheet name="EJERCICIO_2" sheetId="2" r:id="rId2"/>
    <sheet name="EJERCICIO_3" sheetId="5" r:id="rId3"/>
    <sheet name="EJERCICIO_4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7" i="7" l="1"/>
  <c r="H86" i="7"/>
  <c r="C86" i="7"/>
  <c r="C87" i="7"/>
  <c r="C88" i="7"/>
  <c r="C89" i="7"/>
  <c r="C90" i="7"/>
  <c r="C91" i="7"/>
  <c r="C92" i="7"/>
  <c r="C38" i="7"/>
  <c r="E72" i="7"/>
  <c r="D72" i="7"/>
  <c r="G39" i="7"/>
  <c r="J39" i="7" s="1"/>
  <c r="K38" i="7"/>
  <c r="J38" i="7"/>
  <c r="C39" i="7"/>
  <c r="C40" i="7"/>
  <c r="C41" i="7"/>
  <c r="C42" i="7"/>
  <c r="C43" i="7"/>
  <c r="C44" i="7"/>
  <c r="I38" i="7"/>
  <c r="L38" i="7" s="1"/>
  <c r="H88" i="6"/>
  <c r="H87" i="6"/>
  <c r="C88" i="6"/>
  <c r="C89" i="6"/>
  <c r="C90" i="6"/>
  <c r="C91" i="6"/>
  <c r="C87" i="6"/>
  <c r="C38" i="6"/>
  <c r="E72" i="6"/>
  <c r="D72" i="6"/>
  <c r="H39" i="6"/>
  <c r="K39" i="6" s="1"/>
  <c r="K38" i="6"/>
  <c r="J38" i="6"/>
  <c r="C39" i="6"/>
  <c r="C40" i="6"/>
  <c r="C41" i="6"/>
  <c r="C42" i="6"/>
  <c r="I38" i="6"/>
  <c r="L38" i="6" s="1"/>
  <c r="H93" i="5"/>
  <c r="C90" i="2"/>
  <c r="H92" i="5"/>
  <c r="H86" i="2"/>
  <c r="H85" i="2"/>
  <c r="C93" i="5"/>
  <c r="C94" i="5"/>
  <c r="C95" i="5"/>
  <c r="C96" i="5"/>
  <c r="C92" i="5"/>
  <c r="C40" i="5"/>
  <c r="H41" i="5"/>
  <c r="H42" i="5" s="1"/>
  <c r="E74" i="5"/>
  <c r="D74" i="5"/>
  <c r="K40" i="5"/>
  <c r="J40" i="5"/>
  <c r="C42" i="5"/>
  <c r="C43" i="5"/>
  <c r="C44" i="5"/>
  <c r="C41" i="5"/>
  <c r="I40" i="5"/>
  <c r="L40" i="5" s="1"/>
  <c r="C89" i="2"/>
  <c r="C88" i="2"/>
  <c r="C87" i="2"/>
  <c r="C86" i="2"/>
  <c r="C85" i="2"/>
  <c r="J36" i="2"/>
  <c r="G39" i="6" l="1"/>
  <c r="I39" i="6" s="1"/>
  <c r="L39" i="6" s="1"/>
  <c r="C73" i="6"/>
  <c r="E73" i="6" s="1"/>
  <c r="G94" i="5"/>
  <c r="H94" i="5" s="1"/>
  <c r="G95" i="5" s="1"/>
  <c r="H95" i="5" s="1"/>
  <c r="C75" i="5"/>
  <c r="D75" i="5" s="1"/>
  <c r="G87" i="2"/>
  <c r="H87" i="2" s="1"/>
  <c r="G88" i="2" s="1"/>
  <c r="H39" i="7"/>
  <c r="I39" i="7" s="1"/>
  <c r="C73" i="7"/>
  <c r="G88" i="7"/>
  <c r="G89" i="6"/>
  <c r="H89" i="6" s="1"/>
  <c r="G41" i="5"/>
  <c r="J41" i="5" s="1"/>
  <c r="K41" i="5"/>
  <c r="J39" i="6" l="1"/>
  <c r="G40" i="6"/>
  <c r="H40" i="6"/>
  <c r="H41" i="6" s="1"/>
  <c r="D73" i="6"/>
  <c r="C74" i="6" s="1"/>
  <c r="E74" i="6" s="1"/>
  <c r="E75" i="5"/>
  <c r="C76" i="5" s="1"/>
  <c r="K39" i="7"/>
  <c r="H40" i="7"/>
  <c r="K40" i="7" s="1"/>
  <c r="H88" i="7"/>
  <c r="G89" i="7" s="1"/>
  <c r="E73" i="7"/>
  <c r="D73" i="7"/>
  <c r="L39" i="7"/>
  <c r="G40" i="7"/>
  <c r="G90" i="6"/>
  <c r="H88" i="2"/>
  <c r="G89" i="2" s="1"/>
  <c r="I41" i="5"/>
  <c r="K42" i="5"/>
  <c r="G96" i="5"/>
  <c r="H96" i="5" s="1"/>
  <c r="K40" i="6" l="1"/>
  <c r="I40" i="6"/>
  <c r="L40" i="6" s="1"/>
  <c r="J40" i="6"/>
  <c r="C74" i="7"/>
  <c r="D74" i="7" s="1"/>
  <c r="H41" i="7"/>
  <c r="K41" i="7" s="1"/>
  <c r="H89" i="7"/>
  <c r="G90" i="7" s="1"/>
  <c r="J40" i="7"/>
  <c r="I40" i="7"/>
  <c r="H90" i="6"/>
  <c r="G91" i="6" s="1"/>
  <c r="H42" i="6"/>
  <c r="K41" i="6"/>
  <c r="D74" i="6"/>
  <c r="C75" i="6" s="1"/>
  <c r="E75" i="6" s="1"/>
  <c r="H89" i="2"/>
  <c r="L41" i="5"/>
  <c r="G42" i="5"/>
  <c r="G43" i="5" s="1"/>
  <c r="G44" i="5" s="1"/>
  <c r="G45" i="5" s="1"/>
  <c r="E76" i="5"/>
  <c r="D76" i="5"/>
  <c r="G97" i="5"/>
  <c r="H97" i="5" s="1"/>
  <c r="G41" i="6" l="1"/>
  <c r="J41" i="6" s="1"/>
  <c r="J42" i="5"/>
  <c r="I42" i="5"/>
  <c r="H43" i="5" s="1"/>
  <c r="E74" i="7"/>
  <c r="H90" i="7"/>
  <c r="G91" i="7" s="1"/>
  <c r="H91" i="7" s="1"/>
  <c r="C75" i="7"/>
  <c r="D75" i="7" s="1"/>
  <c r="L40" i="7"/>
  <c r="G41" i="7"/>
  <c r="H91" i="6"/>
  <c r="G92" i="6" s="1"/>
  <c r="H43" i="6"/>
  <c r="K43" i="6" s="1"/>
  <c r="K42" i="6"/>
  <c r="D75" i="6"/>
  <c r="C76" i="6" s="1"/>
  <c r="E76" i="6" s="1"/>
  <c r="G98" i="5"/>
  <c r="H98" i="5" s="1"/>
  <c r="C77" i="5"/>
  <c r="E77" i="5" s="1"/>
  <c r="J43" i="5"/>
  <c r="I41" i="6" l="1"/>
  <c r="G42" i="6" s="1"/>
  <c r="L42" i="5"/>
  <c r="E75" i="7"/>
  <c r="G42" i="7"/>
  <c r="J41" i="7"/>
  <c r="I41" i="7"/>
  <c r="H92" i="6"/>
  <c r="G93" i="6" s="1"/>
  <c r="D76" i="6"/>
  <c r="G99" i="5"/>
  <c r="H99" i="5" s="1"/>
  <c r="D77" i="5"/>
  <c r="C78" i="5" s="1"/>
  <c r="E78" i="5" s="1"/>
  <c r="K43" i="5"/>
  <c r="I43" i="5"/>
  <c r="H44" i="5" s="1"/>
  <c r="L41" i="6" l="1"/>
  <c r="L41" i="7"/>
  <c r="H42" i="7"/>
  <c r="I42" i="7" s="1"/>
  <c r="J42" i="7"/>
  <c r="H93" i="6"/>
  <c r="J42" i="6"/>
  <c r="I42" i="6"/>
  <c r="D78" i="5"/>
  <c r="C79" i="5" s="1"/>
  <c r="E79" i="5" s="1"/>
  <c r="L43" i="5"/>
  <c r="I44" i="5"/>
  <c r="H45" i="5" s="1"/>
  <c r="H46" i="5" s="1"/>
  <c r="H47" i="5" s="1"/>
  <c r="H48" i="5" s="1"/>
  <c r="H49" i="5" s="1"/>
  <c r="K44" i="5"/>
  <c r="L42" i="7" l="1"/>
  <c r="G43" i="7"/>
  <c r="H43" i="7"/>
  <c r="K43" i="7" s="1"/>
  <c r="K42" i="7"/>
  <c r="L42" i="6"/>
  <c r="G43" i="6"/>
  <c r="D79" i="5"/>
  <c r="C80" i="5" s="1"/>
  <c r="E80" i="5" s="1"/>
  <c r="L44" i="5"/>
  <c r="K45" i="5"/>
  <c r="J44" i="5"/>
  <c r="J43" i="7" l="1"/>
  <c r="I43" i="7"/>
  <c r="G44" i="7"/>
  <c r="J43" i="6"/>
  <c r="G44" i="6"/>
  <c r="I43" i="6"/>
  <c r="D80" i="5"/>
  <c r="C81" i="5" s="1"/>
  <c r="I45" i="5"/>
  <c r="G46" i="5" s="1"/>
  <c r="J45" i="5"/>
  <c r="J44" i="7" l="1"/>
  <c r="L43" i="7"/>
  <c r="H44" i="7"/>
  <c r="L43" i="6"/>
  <c r="H44" i="6"/>
  <c r="K44" i="6" s="1"/>
  <c r="J44" i="6"/>
  <c r="G45" i="6"/>
  <c r="E81" i="5"/>
  <c r="D81" i="5"/>
  <c r="L45" i="5"/>
  <c r="K46" i="5"/>
  <c r="J46" i="5"/>
  <c r="I46" i="5"/>
  <c r="G47" i="5" s="1"/>
  <c r="I44" i="6" l="1"/>
  <c r="L44" i="6" s="1"/>
  <c r="K44" i="7"/>
  <c r="H45" i="7"/>
  <c r="K45" i="7" s="1"/>
  <c r="I44" i="7"/>
  <c r="J45" i="6"/>
  <c r="L46" i="5"/>
  <c r="J47" i="5"/>
  <c r="H45" i="6" l="1"/>
  <c r="H46" i="6" s="1"/>
  <c r="L44" i="7"/>
  <c r="G45" i="7"/>
  <c r="I47" i="5"/>
  <c r="G48" i="5" s="1"/>
  <c r="J48" i="5" s="1"/>
  <c r="K47" i="5"/>
  <c r="I45" i="6" l="1"/>
  <c r="G46" i="6" s="1"/>
  <c r="K45" i="6"/>
  <c r="G46" i="7"/>
  <c r="J45" i="7"/>
  <c r="I45" i="7"/>
  <c r="H47" i="6"/>
  <c r="K46" i="6"/>
  <c r="L47" i="5"/>
  <c r="L45" i="6" l="1"/>
  <c r="L45" i="7"/>
  <c r="H46" i="7"/>
  <c r="I46" i="7" s="1"/>
  <c r="J46" i="7"/>
  <c r="K47" i="6"/>
  <c r="H48" i="6"/>
  <c r="K48" i="6" s="1"/>
  <c r="J46" i="6"/>
  <c r="I46" i="6"/>
  <c r="K48" i="5"/>
  <c r="I48" i="5"/>
  <c r="G49" i="5" s="1"/>
  <c r="G50" i="5" s="1"/>
  <c r="L46" i="7" l="1"/>
  <c r="G47" i="7"/>
  <c r="K46" i="7"/>
  <c r="H47" i="7"/>
  <c r="K47" i="7" s="1"/>
  <c r="L46" i="6"/>
  <c r="G47" i="6"/>
  <c r="L48" i="5"/>
  <c r="K49" i="5"/>
  <c r="I47" i="7" l="1"/>
  <c r="J47" i="7"/>
  <c r="G48" i="7"/>
  <c r="J47" i="6"/>
  <c r="I47" i="6"/>
  <c r="J49" i="5"/>
  <c r="I49" i="5"/>
  <c r="H50" i="5" s="1"/>
  <c r="G49" i="7" l="1"/>
  <c r="J48" i="7"/>
  <c r="L47" i="7"/>
  <c r="H48" i="7"/>
  <c r="K48" i="7" s="1"/>
  <c r="L47" i="6"/>
  <c r="G48" i="6"/>
  <c r="H51" i="5"/>
  <c r="H52" i="5" s="1"/>
  <c r="H53" i="5" s="1"/>
  <c r="H54" i="5" s="1"/>
  <c r="K50" i="5"/>
  <c r="L49" i="5"/>
  <c r="I48" i="7" l="1"/>
  <c r="J49" i="7"/>
  <c r="I48" i="6"/>
  <c r="J48" i="6"/>
  <c r="G49" i="6"/>
  <c r="I50" i="5"/>
  <c r="G51" i="5" s="1"/>
  <c r="J50" i="5"/>
  <c r="L48" i="7" l="1"/>
  <c r="H49" i="7"/>
  <c r="G50" i="6"/>
  <c r="J49" i="6"/>
  <c r="L48" i="6"/>
  <c r="H49" i="6"/>
  <c r="K49" i="6" s="1"/>
  <c r="J51" i="5"/>
  <c r="L50" i="5"/>
  <c r="K51" i="5"/>
  <c r="K49" i="7" l="1"/>
  <c r="H50" i="7"/>
  <c r="I49" i="7"/>
  <c r="I49" i="6"/>
  <c r="J50" i="6"/>
  <c r="G51" i="6"/>
  <c r="I51" i="5"/>
  <c r="G52" i="5" s="1"/>
  <c r="J52" i="5" s="1"/>
  <c r="L49" i="7" l="1"/>
  <c r="G50" i="7"/>
  <c r="H51" i="7"/>
  <c r="K51" i="7" s="1"/>
  <c r="K50" i="7"/>
  <c r="G52" i="6"/>
  <c r="J51" i="6"/>
  <c r="L49" i="6"/>
  <c r="H50" i="6"/>
  <c r="L51" i="5"/>
  <c r="I50" i="7" l="1"/>
  <c r="J50" i="7"/>
  <c r="K50" i="6"/>
  <c r="I50" i="6"/>
  <c r="J52" i="6"/>
  <c r="G53" i="6"/>
  <c r="K52" i="5"/>
  <c r="I52" i="5"/>
  <c r="G53" i="5" s="1"/>
  <c r="J53" i="5" s="1"/>
  <c r="L50" i="7" l="1"/>
  <c r="G51" i="7"/>
  <c r="L50" i="6"/>
  <c r="H51" i="6"/>
  <c r="J53" i="6"/>
  <c r="L52" i="5"/>
  <c r="J51" i="7" l="1"/>
  <c r="G52" i="7"/>
  <c r="I51" i="7"/>
  <c r="K51" i="6"/>
  <c r="I51" i="6"/>
  <c r="K53" i="5"/>
  <c r="I53" i="5"/>
  <c r="G54" i="5" s="1"/>
  <c r="L51" i="7" l="1"/>
  <c r="H52" i="7"/>
  <c r="I52" i="7" s="1"/>
  <c r="J52" i="7"/>
  <c r="L51" i="6"/>
  <c r="H52" i="6"/>
  <c r="G55" i="5"/>
  <c r="J54" i="5"/>
  <c r="L53" i="5"/>
  <c r="K52" i="7" l="1"/>
  <c r="H53" i="7"/>
  <c r="L52" i="7"/>
  <c r="G53" i="7"/>
  <c r="K52" i="6"/>
  <c r="I52" i="6"/>
  <c r="I54" i="5"/>
  <c r="H55" i="5" s="1"/>
  <c r="H56" i="5" s="1"/>
  <c r="K54" i="5"/>
  <c r="J53" i="7" l="1"/>
  <c r="I53" i="7"/>
  <c r="K53" i="7"/>
  <c r="H54" i="7"/>
  <c r="L52" i="6"/>
  <c r="H53" i="6"/>
  <c r="H57" i="5"/>
  <c r="K56" i="5"/>
  <c r="K55" i="5"/>
  <c r="L54" i="5"/>
  <c r="J55" i="5"/>
  <c r="K54" i="7" l="1"/>
  <c r="H55" i="7"/>
  <c r="L53" i="7"/>
  <c r="G54" i="7"/>
  <c r="J54" i="7" s="1"/>
  <c r="H54" i="6"/>
  <c r="K54" i="6" s="1"/>
  <c r="K53" i="6"/>
  <c r="I53" i="6"/>
  <c r="K57" i="5"/>
  <c r="H58" i="5"/>
  <c r="K58" i="5" s="1"/>
  <c r="I55" i="5"/>
  <c r="K55" i="7" l="1"/>
  <c r="H56" i="7"/>
  <c r="K56" i="7" s="1"/>
  <c r="I54" i="7"/>
  <c r="L53" i="6"/>
  <c r="G54" i="6"/>
  <c r="L55" i="5"/>
  <c r="G56" i="5"/>
  <c r="L54" i="7" l="1"/>
  <c r="G55" i="7"/>
  <c r="I54" i="6"/>
  <c r="J54" i="6"/>
  <c r="G55" i="6"/>
  <c r="J56" i="5"/>
  <c r="I56" i="5"/>
  <c r="J55" i="7" l="1"/>
  <c r="I55" i="7"/>
  <c r="G56" i="6"/>
  <c r="J55" i="6"/>
  <c r="L54" i="6"/>
  <c r="H55" i="6"/>
  <c r="K55" i="6" s="1"/>
  <c r="L56" i="5"/>
  <c r="G57" i="5"/>
  <c r="L55" i="7" l="1"/>
  <c r="G56" i="7"/>
  <c r="G57" i="6"/>
  <c r="J56" i="6"/>
  <c r="I55" i="6"/>
  <c r="J57" i="5"/>
  <c r="I57" i="5"/>
  <c r="I56" i="7" l="1"/>
  <c r="G57" i="7"/>
  <c r="G58" i="7" s="1"/>
  <c r="J56" i="7"/>
  <c r="L55" i="6"/>
  <c r="H56" i="6"/>
  <c r="J57" i="6"/>
  <c r="L57" i="5"/>
  <c r="G58" i="5"/>
  <c r="G59" i="5" s="1"/>
  <c r="J58" i="7" l="1"/>
  <c r="J57" i="7"/>
  <c r="L56" i="7"/>
  <c r="H57" i="7"/>
  <c r="K57" i="7" s="1"/>
  <c r="K56" i="6"/>
  <c r="I56" i="6"/>
  <c r="J58" i="5"/>
  <c r="I58" i="5"/>
  <c r="I57" i="7" l="1"/>
  <c r="L56" i="6"/>
  <c r="H57" i="6"/>
  <c r="L58" i="5"/>
  <c r="H59" i="5"/>
  <c r="J59" i="5"/>
  <c r="L57" i="7" l="1"/>
  <c r="H58" i="7"/>
  <c r="K57" i="6"/>
  <c r="I57" i="6"/>
  <c r="L57" i="6" s="1"/>
  <c r="K59" i="5"/>
  <c r="H60" i="5"/>
  <c r="K60" i="5" s="1"/>
  <c r="I59" i="5"/>
  <c r="K58" i="7" l="1"/>
  <c r="I58" i="7"/>
  <c r="L58" i="7" s="1"/>
  <c r="L59" i="5"/>
  <c r="G60" i="5"/>
  <c r="J60" i="5" l="1"/>
  <c r="I60" i="5"/>
  <c r="L60" i="5" s="1"/>
  <c r="H37" i="2" l="1"/>
  <c r="K37" i="2" s="1"/>
  <c r="K36" i="2"/>
  <c r="I36" i="2"/>
  <c r="G37" i="2" s="1"/>
  <c r="C38" i="2"/>
  <c r="C39" i="2"/>
  <c r="C40" i="2"/>
  <c r="C41" i="2"/>
  <c r="C42" i="2"/>
  <c r="C36" i="2"/>
  <c r="D67" i="2"/>
  <c r="G38" i="2" l="1"/>
  <c r="J37" i="2"/>
  <c r="I37" i="2"/>
  <c r="L36" i="2"/>
  <c r="C37" i="2" s="1"/>
  <c r="E67" i="2"/>
  <c r="L37" i="2" l="1"/>
  <c r="H38" i="2"/>
  <c r="I38" i="2" s="1"/>
  <c r="J38" i="2"/>
  <c r="C68" i="2"/>
  <c r="E68" i="2" s="1"/>
  <c r="L38" i="2" l="1"/>
  <c r="G39" i="2"/>
  <c r="K38" i="2"/>
  <c r="H39" i="2"/>
  <c r="D68" i="2"/>
  <c r="C69" i="2" s="1"/>
  <c r="E69" i="2" s="1"/>
  <c r="H40" i="2" l="1"/>
  <c r="K40" i="2" s="1"/>
  <c r="K39" i="2"/>
  <c r="J39" i="2"/>
  <c r="I39" i="2"/>
  <c r="D69" i="2"/>
  <c r="C70" i="2" s="1"/>
  <c r="E70" i="2" s="1"/>
  <c r="L39" i="2" l="1"/>
  <c r="G40" i="2"/>
  <c r="D70" i="2"/>
  <c r="C71" i="2" s="1"/>
  <c r="D71" i="2" s="1"/>
  <c r="G41" i="2" l="1"/>
  <c r="I40" i="2"/>
  <c r="J40" i="2"/>
  <c r="E71" i="2"/>
  <c r="C72" i="2" s="1"/>
  <c r="L40" i="2" l="1"/>
  <c r="H41" i="2"/>
  <c r="I41" i="2" s="1"/>
  <c r="J41" i="2"/>
  <c r="E72" i="2"/>
  <c r="D72" i="2"/>
  <c r="L41" i="2" l="1"/>
  <c r="G42" i="2"/>
  <c r="K41" i="2"/>
  <c r="H42" i="2"/>
  <c r="K42" i="2" s="1"/>
  <c r="C73" i="2"/>
  <c r="E73" i="2" s="1"/>
  <c r="J42" i="2" l="1"/>
  <c r="G43" i="2"/>
  <c r="I42" i="2"/>
  <c r="D73" i="2"/>
  <c r="C74" i="2" s="1"/>
  <c r="L42" i="2" l="1"/>
  <c r="H43" i="2"/>
  <c r="K43" i="2" s="1"/>
  <c r="G44" i="2"/>
  <c r="J43" i="2"/>
  <c r="E74" i="2"/>
  <c r="D74" i="2"/>
  <c r="I43" i="2" l="1"/>
  <c r="L43" i="2" s="1"/>
  <c r="J44" i="2"/>
  <c r="H44" i="2" l="1"/>
  <c r="I44" i="2" s="1"/>
  <c r="L44" i="2" s="1"/>
  <c r="H45" i="2"/>
  <c r="K44" i="2"/>
  <c r="G45" i="2" l="1"/>
  <c r="H46" i="2"/>
  <c r="K46" i="2" s="1"/>
  <c r="K45" i="2"/>
  <c r="J45" i="2"/>
  <c r="I45" i="2"/>
  <c r="L45" i="2" l="1"/>
  <c r="G46" i="2"/>
  <c r="J46" i="2" l="1"/>
  <c r="G47" i="2"/>
  <c r="I46" i="2"/>
  <c r="L46" i="2" l="1"/>
  <c r="H47" i="2"/>
  <c r="I47" i="2" s="1"/>
  <c r="J47" i="2"/>
  <c r="G48" i="2" l="1"/>
  <c r="L47" i="2"/>
  <c r="H48" i="2"/>
  <c r="K48" i="2" s="1"/>
  <c r="K47" i="2"/>
  <c r="G49" i="2" l="1"/>
  <c r="J49" i="2" s="1"/>
  <c r="J48" i="2"/>
  <c r="I48" i="2"/>
  <c r="H49" i="2" l="1"/>
  <c r="L48" i="2"/>
  <c r="I49" i="2" l="1"/>
  <c r="K49" i="2"/>
  <c r="H50" i="2"/>
  <c r="K50" i="2" l="1"/>
  <c r="H51" i="2"/>
  <c r="G50" i="2"/>
  <c r="L49" i="2"/>
  <c r="J50" i="2" l="1"/>
  <c r="I50" i="2"/>
  <c r="K51" i="2"/>
  <c r="H52" i="2"/>
  <c r="K52" i="2" l="1"/>
  <c r="H53" i="2"/>
  <c r="L50" i="2"/>
  <c r="G51" i="2"/>
  <c r="J51" i="2" l="1"/>
  <c r="I51" i="2"/>
  <c r="K53" i="2"/>
  <c r="H54" i="2"/>
  <c r="K54" i="2" s="1"/>
  <c r="L51" i="2" l="1"/>
  <c r="G52" i="2"/>
  <c r="I52" i="2" l="1"/>
  <c r="J52" i="2"/>
  <c r="L52" i="2" l="1"/>
  <c r="G53" i="2"/>
  <c r="I53" i="2" l="1"/>
  <c r="J53" i="2"/>
  <c r="L53" i="2" l="1"/>
  <c r="G54" i="2"/>
  <c r="J54" i="2" l="1"/>
  <c r="G55" i="2"/>
  <c r="I54" i="2"/>
  <c r="L54" i="2" l="1"/>
  <c r="H55" i="2"/>
  <c r="K55" i="2" s="1"/>
  <c r="J55" i="2"/>
  <c r="I55" i="2" l="1"/>
  <c r="L55" i="2" s="1"/>
</calcChain>
</file>

<file path=xl/sharedStrings.xml><?xml version="1.0" encoding="utf-8"?>
<sst xmlns="http://schemas.openxmlformats.org/spreadsheetml/2006/main" count="232" uniqueCount="54">
  <si>
    <t>METODO DE NEWTON - RAPHSON</t>
  </si>
  <si>
    <t xml:space="preserve">Derivada: </t>
  </si>
  <si>
    <t>f(x) = 3 sin (0.5x) - 0.5x + 2</t>
  </si>
  <si>
    <t>#</t>
  </si>
  <si>
    <t>x</t>
  </si>
  <si>
    <t>f(x)</t>
  </si>
  <si>
    <t>f'(x)</t>
  </si>
  <si>
    <t>tol</t>
  </si>
  <si>
    <t xml:space="preserve">  | f(x_i)  | &lt;=  tol</t>
  </si>
  <si>
    <t>f '(x) = 1.5 cos (0.5x) - 0.5</t>
  </si>
  <si>
    <t>METODO DE BISECCION</t>
  </si>
  <si>
    <t>METODO DE LA SECANTE</t>
  </si>
  <si>
    <t>Encontramos el intervalo [a , b]</t>
  </si>
  <si>
    <t>Donde:</t>
  </si>
  <si>
    <t>f(a) * f(b) &lt; 0</t>
  </si>
  <si>
    <t>(positivo)</t>
  </si>
  <si>
    <t>(negativo)</t>
  </si>
  <si>
    <t>Intervalo inicial:</t>
  </si>
  <si>
    <t>a = 5</t>
  </si>
  <si>
    <t>b = 6</t>
  </si>
  <si>
    <t>Si</t>
  </si>
  <si>
    <t>f(a) * f(m) &lt; 0  --&gt;  b = m</t>
  </si>
  <si>
    <t>f(b) * f(m) &lt; 0  --&gt;  a = m</t>
  </si>
  <si>
    <t>a</t>
  </si>
  <si>
    <t>b</t>
  </si>
  <si>
    <t>m</t>
  </si>
  <si>
    <t>f(a)</t>
  </si>
  <si>
    <t>f(b)</t>
  </si>
  <si>
    <t>f(m)</t>
  </si>
  <si>
    <t>Donde :</t>
  </si>
  <si>
    <t>m = (a + b) / 2</t>
  </si>
  <si>
    <t>f(m) &lt;=  TOL</t>
  </si>
  <si>
    <t>Funcion:</t>
  </si>
  <si>
    <t>Encontramos el intervalo [x_0 , x_1]</t>
  </si>
  <si>
    <t>Valores iniciales:</t>
  </si>
  <si>
    <t>x0 = 5</t>
  </si>
  <si>
    <t>x1 = 6</t>
  </si>
  <si>
    <t>|f(x)| &lt;= tol</t>
  </si>
  <si>
    <t>f(x) = x^3 - x^2*e^(-0,5x) -3x +1</t>
  </si>
  <si>
    <t xml:space="preserve">f '(x) = </t>
  </si>
  <si>
    <t>x0 = 1</t>
  </si>
  <si>
    <t>x1 = 2</t>
  </si>
  <si>
    <t>a = 1</t>
  </si>
  <si>
    <t>b = 2</t>
  </si>
  <si>
    <t>f(x) = cos^2 x - 0,5x e^(0,3x) + 5</t>
  </si>
  <si>
    <t>a = 3</t>
  </si>
  <si>
    <t>b = 4</t>
  </si>
  <si>
    <t>x0 = 3</t>
  </si>
  <si>
    <t>x1 = 4</t>
  </si>
  <si>
    <t>f(x) = x^3 - e^(0,8x) - 20</t>
  </si>
  <si>
    <t>b = 3,5</t>
  </si>
  <si>
    <t>x1 = 3,5</t>
  </si>
  <si>
    <t>GRAFICO</t>
  </si>
  <si>
    <t xml:space="preserve">RAIZ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</si>
</sst>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0F1115"/>
      <name val="Times New Roman"/>
      <family val="1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ADAB8"/>
        <bgColor indexed="64"/>
      </patternFill>
    </fill>
    <fill>
      <patternFill patternType="solid">
        <fgColor rgb="FF9FCD5B"/>
        <bgColor indexed="64"/>
      </patternFill>
    </fill>
    <fill>
      <patternFill patternType="solid">
        <fgColor rgb="FFE4D1EB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4C8F1"/>
        <bgColor indexed="64"/>
      </patternFill>
    </fill>
    <fill>
      <patternFill patternType="solid">
        <fgColor rgb="FFE9DE5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1FFE8"/>
        <bgColor indexed="64"/>
      </patternFill>
    </fill>
    <fill>
      <patternFill patternType="solid">
        <fgColor rgb="FFC8A1D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3" fillId="0" borderId="0" xfId="0" applyFont="1"/>
    <xf numFmtId="0" fontId="0" fillId="4" borderId="1" xfId="0" applyFill="1" applyBorder="1"/>
    <xf numFmtId="0" fontId="0" fillId="0" borderId="1" xfId="0" applyBorder="1"/>
    <xf numFmtId="0" fontId="0" fillId="5" borderId="1" xfId="0" applyFill="1" applyBorder="1"/>
    <xf numFmtId="0" fontId="0" fillId="2" borderId="1" xfId="0" applyFill="1" applyBorder="1"/>
    <xf numFmtId="0" fontId="4" fillId="3" borderId="1" xfId="0" applyFont="1" applyFill="1" applyBorder="1" applyAlignment="1">
      <alignment horizontal="center"/>
    </xf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4" fillId="8" borderId="1" xfId="0" applyFont="1" applyFill="1" applyBorder="1" applyAlignment="1">
      <alignment horizontal="center"/>
    </xf>
    <xf numFmtId="0" fontId="5" fillId="9" borderId="2" xfId="0" applyFont="1" applyFill="1" applyBorder="1" applyAlignment="1">
      <alignment horizontal="left"/>
    </xf>
    <xf numFmtId="0" fontId="0" fillId="9" borderId="1" xfId="0" applyFill="1" applyBorder="1"/>
    <xf numFmtId="0" fontId="0" fillId="10" borderId="0" xfId="0" applyFill="1"/>
    <xf numFmtId="0" fontId="4" fillId="11" borderId="1" xfId="0" applyFont="1" applyFill="1" applyBorder="1" applyAlignment="1">
      <alignment horizontal="center"/>
    </xf>
    <xf numFmtId="0" fontId="0" fillId="12" borderId="1" xfId="0" applyFill="1" applyBorder="1"/>
    <xf numFmtId="0" fontId="0" fillId="11" borderId="1" xfId="0" applyFill="1" applyBorder="1"/>
    <xf numFmtId="0" fontId="0" fillId="0" borderId="3" xfId="0" applyBorder="1"/>
    <xf numFmtId="0" fontId="4" fillId="13" borderId="1" xfId="0" applyFont="1" applyFill="1" applyBorder="1" applyAlignment="1">
      <alignment horizontal="center"/>
    </xf>
    <xf numFmtId="0" fontId="0" fillId="14" borderId="3" xfId="0" applyFill="1" applyBorder="1"/>
    <xf numFmtId="0" fontId="0" fillId="14" borderId="1" xfId="0" applyFill="1" applyBorder="1"/>
    <xf numFmtId="0" fontId="0" fillId="10" borderId="1" xfId="0" applyFill="1" applyBorder="1"/>
    <xf numFmtId="0" fontId="0" fillId="6" borderId="4" xfId="0" applyFill="1" applyBorder="1"/>
    <xf numFmtId="0" fontId="0" fillId="0" borderId="4" xfId="0" applyBorder="1"/>
    <xf numFmtId="0" fontId="0" fillId="10" borderId="3" xfId="0" applyFill="1" applyBorder="1"/>
    <xf numFmtId="0" fontId="0" fillId="15" borderId="1" xfId="0" applyFill="1" applyBorder="1"/>
    <xf numFmtId="0" fontId="6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8A1D7"/>
      <color rgb="FF9FCD5B"/>
      <color rgb="FFF4C8F1"/>
      <color rgb="FFD1FFE8"/>
      <color rgb="FFE9DE51"/>
      <color rgb="FFE4D1EB"/>
      <color rgb="FFAADA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700518</xdr:colOff>
      <xdr:row>64</xdr:row>
      <xdr:rowOff>0</xdr:rowOff>
    </xdr:from>
    <xdr:to>
      <xdr:col>6</xdr:col>
      <xdr:colOff>662940</xdr:colOff>
      <xdr:row>66</xdr:row>
      <xdr:rowOff>91440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042994F-97D8-419A-B643-0DF5269C1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70438" y="7376160"/>
          <a:ext cx="1547382" cy="518160"/>
        </a:xfrm>
        <a:prstGeom prst="rect">
          <a:avLst/>
        </a:prstGeom>
      </xdr:spPr>
    </xdr:pic>
    <xdr:clientData/>
  </xdr:twoCellAnchor>
  <xdr:twoCellAnchor editAs="oneCell">
    <xdr:from>
      <xdr:col>5</xdr:col>
      <xdr:colOff>95251</xdr:colOff>
      <xdr:row>79</xdr:row>
      <xdr:rowOff>107950</xdr:rowOff>
    </xdr:from>
    <xdr:to>
      <xdr:col>8</xdr:col>
      <xdr:colOff>342387</xdr:colOff>
      <xdr:row>82</xdr:row>
      <xdr:rowOff>6349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C089E41-07CB-47CE-9C31-8A92214BF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57651" y="11149330"/>
          <a:ext cx="2624576" cy="492759"/>
        </a:xfrm>
        <a:prstGeom prst="rect">
          <a:avLst/>
        </a:prstGeom>
      </xdr:spPr>
    </xdr:pic>
    <xdr:clientData/>
  </xdr:twoCellAnchor>
  <xdr:twoCellAnchor editAs="oneCell">
    <xdr:from>
      <xdr:col>0</xdr:col>
      <xdr:colOff>473711</xdr:colOff>
      <xdr:row>1</xdr:row>
      <xdr:rowOff>92711</xdr:rowOff>
    </xdr:from>
    <xdr:to>
      <xdr:col>6</xdr:col>
      <xdr:colOff>664766</xdr:colOff>
      <xdr:row>5</xdr:row>
      <xdr:rowOff>38100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2093C80-7043-4213-9A87-19D32A833C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5679" r="20600" b="64874"/>
        <a:stretch/>
      </xdr:blipFill>
      <xdr:spPr>
        <a:xfrm>
          <a:off x="473711" y="276861"/>
          <a:ext cx="4953555" cy="681989"/>
        </a:xfrm>
        <a:prstGeom prst="rect">
          <a:avLst/>
        </a:prstGeom>
      </xdr:spPr>
    </xdr:pic>
    <xdr:clientData/>
  </xdr:twoCellAnchor>
  <xdr:twoCellAnchor editAs="oneCell">
    <xdr:from>
      <xdr:col>3</xdr:col>
      <xdr:colOff>279400</xdr:colOff>
      <xdr:row>6</xdr:row>
      <xdr:rowOff>103034</xdr:rowOff>
    </xdr:from>
    <xdr:to>
      <xdr:col>11</xdr:col>
      <xdr:colOff>234950</xdr:colOff>
      <xdr:row>27</xdr:row>
      <xdr:rowOff>30331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702382A-2232-CFAF-24A3-51D101453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60650" y="1207934"/>
          <a:ext cx="6305550" cy="3794447"/>
        </a:xfrm>
        <a:prstGeom prst="rect">
          <a:avLst/>
        </a:prstGeom>
      </xdr:spPr>
    </xdr:pic>
    <xdr:clientData/>
  </xdr:twoCellAnchor>
  <xdr:twoCellAnchor editAs="oneCell">
    <xdr:from>
      <xdr:col>2</xdr:col>
      <xdr:colOff>546101</xdr:colOff>
      <xdr:row>66</xdr:row>
      <xdr:rowOff>6350</xdr:rowOff>
    </xdr:from>
    <xdr:to>
      <xdr:col>3</xdr:col>
      <xdr:colOff>749301</xdr:colOff>
      <xdr:row>67</xdr:row>
      <xdr:rowOff>17891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07167E6-6C84-222A-5082-793B481D6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33601" y="8401050"/>
          <a:ext cx="996950" cy="2401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441961</xdr:colOff>
      <xdr:row>1</xdr:row>
      <xdr:rowOff>106681</xdr:rowOff>
    </xdr:from>
    <xdr:to>
      <xdr:col>8</xdr:col>
      <xdr:colOff>266701</xdr:colOff>
      <xdr:row>4</xdr:row>
      <xdr:rowOff>167573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16CE8F3-B6EB-0D22-25DC-6266D4173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961" y="289561"/>
          <a:ext cx="6164580" cy="609532"/>
        </a:xfrm>
        <a:prstGeom prst="rect">
          <a:avLst/>
        </a:prstGeom>
      </xdr:spPr>
    </xdr:pic>
    <xdr:clientData/>
  </xdr:twoCellAnchor>
  <xdr:twoCellAnchor editAs="oneCell">
    <xdr:from>
      <xdr:col>3</xdr:col>
      <xdr:colOff>194310</xdr:colOff>
      <xdr:row>5</xdr:row>
      <xdr:rowOff>94980</xdr:rowOff>
    </xdr:from>
    <xdr:to>
      <xdr:col>11</xdr:col>
      <xdr:colOff>785342</xdr:colOff>
      <xdr:row>24</xdr:row>
      <xdr:rowOff>158750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0516046-1830-885A-C169-7B0F78D6F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5560" y="1015730"/>
          <a:ext cx="6941032" cy="3562620"/>
        </a:xfrm>
        <a:prstGeom prst="rect">
          <a:avLst/>
        </a:prstGeom>
      </xdr:spPr>
    </xdr:pic>
    <xdr:clientData/>
  </xdr:twoCellAnchor>
  <xdr:twoCellAnchor editAs="oneCell">
    <xdr:from>
      <xdr:col>4</xdr:col>
      <xdr:colOff>700518</xdr:colOff>
      <xdr:row>59</xdr:row>
      <xdr:rowOff>0</xdr:rowOff>
    </xdr:from>
    <xdr:to>
      <xdr:col>6</xdr:col>
      <xdr:colOff>662940</xdr:colOff>
      <xdr:row>61</xdr:row>
      <xdr:rowOff>91440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F23FA9C-927B-D092-3411-4F4097E39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75518" y="7416800"/>
          <a:ext cx="1549922" cy="516890"/>
        </a:xfrm>
        <a:prstGeom prst="rect">
          <a:avLst/>
        </a:prstGeom>
      </xdr:spPr>
    </xdr:pic>
    <xdr:clientData/>
  </xdr:twoCellAnchor>
  <xdr:twoCellAnchor editAs="oneCell">
    <xdr:from>
      <xdr:col>5</xdr:col>
      <xdr:colOff>95251</xdr:colOff>
      <xdr:row>78</xdr:row>
      <xdr:rowOff>107950</xdr:rowOff>
    </xdr:from>
    <xdr:to>
      <xdr:col>8</xdr:col>
      <xdr:colOff>342387</xdr:colOff>
      <xdr:row>81</xdr:row>
      <xdr:rowOff>6349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754705-3E88-83D5-AD0E-128731718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64001" y="11207750"/>
          <a:ext cx="2628386" cy="4952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338568</xdr:colOff>
      <xdr:row>66</xdr:row>
      <xdr:rowOff>69850</xdr:rowOff>
    </xdr:from>
    <xdr:to>
      <xdr:col>7</xdr:col>
      <xdr:colOff>300990</xdr:colOff>
      <xdr:row>68</xdr:row>
      <xdr:rowOff>161290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BA9C967-CE2B-48A1-9282-0039F7A01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07318" y="7486650"/>
          <a:ext cx="1549922" cy="516890"/>
        </a:xfrm>
        <a:prstGeom prst="rect">
          <a:avLst/>
        </a:prstGeom>
      </xdr:spPr>
    </xdr:pic>
    <xdr:clientData/>
  </xdr:twoCellAnchor>
  <xdr:twoCellAnchor editAs="oneCell">
    <xdr:from>
      <xdr:col>5</xdr:col>
      <xdr:colOff>441614</xdr:colOff>
      <xdr:row>85</xdr:row>
      <xdr:rowOff>107950</xdr:rowOff>
    </xdr:from>
    <xdr:to>
      <xdr:col>8</xdr:col>
      <xdr:colOff>688750</xdr:colOff>
      <xdr:row>88</xdr:row>
      <xdr:rowOff>6349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C9393CF-EB7D-499D-8B0F-1E5056DD3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90159" y="11572586"/>
          <a:ext cx="2616264" cy="487217"/>
        </a:xfrm>
        <a:prstGeom prst="rect">
          <a:avLst/>
        </a:prstGeom>
      </xdr:spPr>
    </xdr:pic>
    <xdr:clientData/>
  </xdr:twoCellAnchor>
  <xdr:twoCellAnchor editAs="oneCell">
    <xdr:from>
      <xdr:col>0</xdr:col>
      <xdr:colOff>525089</xdr:colOff>
      <xdr:row>2</xdr:row>
      <xdr:rowOff>8429</xdr:rowOff>
    </xdr:from>
    <xdr:to>
      <xdr:col>9</xdr:col>
      <xdr:colOff>102178</xdr:colOff>
      <xdr:row>5</xdr:row>
      <xdr:rowOff>70500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8EE29F6-E54A-4E87-B906-0883E3485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5089" y="368647"/>
          <a:ext cx="6684471" cy="602398"/>
        </a:xfrm>
        <a:prstGeom prst="rect">
          <a:avLst/>
        </a:prstGeom>
      </xdr:spPr>
    </xdr:pic>
    <xdr:clientData/>
  </xdr:twoCellAnchor>
  <xdr:twoCellAnchor editAs="oneCell">
    <xdr:from>
      <xdr:col>3</xdr:col>
      <xdr:colOff>96982</xdr:colOff>
      <xdr:row>6</xdr:row>
      <xdr:rowOff>47160</xdr:rowOff>
    </xdr:from>
    <xdr:to>
      <xdr:col>11</xdr:col>
      <xdr:colOff>28488</xdr:colOff>
      <xdr:row>28</xdr:row>
      <xdr:rowOff>176948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90E5304-11F3-68DD-FE9B-7A222B09F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66109" y="1127815"/>
          <a:ext cx="6249179" cy="4092188"/>
        </a:xfrm>
        <a:prstGeom prst="rect">
          <a:avLst/>
        </a:prstGeom>
      </xdr:spPr>
    </xdr:pic>
    <xdr:clientData/>
  </xdr:twoCellAnchor>
  <xdr:twoCellAnchor editAs="oneCell">
    <xdr:from>
      <xdr:col>2</xdr:col>
      <xdr:colOff>597477</xdr:colOff>
      <xdr:row>67</xdr:row>
      <xdr:rowOff>173183</xdr:rowOff>
    </xdr:from>
    <xdr:to>
      <xdr:col>4</xdr:col>
      <xdr:colOff>666750</xdr:colOff>
      <xdr:row>69</xdr:row>
      <xdr:rowOff>22557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4CF7881-4166-2655-CFE6-E86BE31B0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90750" y="7741228"/>
          <a:ext cx="1662545" cy="27367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200021</xdr:colOff>
      <xdr:row>64</xdr:row>
      <xdr:rowOff>159904</xdr:rowOff>
    </xdr:from>
    <xdr:to>
      <xdr:col>8</xdr:col>
      <xdr:colOff>162444</xdr:colOff>
      <xdr:row>67</xdr:row>
      <xdr:rowOff>22744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285AC5-F691-41EB-A6CC-B16FFEF01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8276" y="7994649"/>
          <a:ext cx="1541841" cy="520931"/>
        </a:xfrm>
        <a:prstGeom prst="rect">
          <a:avLst/>
        </a:prstGeom>
      </xdr:spPr>
    </xdr:pic>
    <xdr:clientData/>
  </xdr:twoCellAnchor>
  <xdr:twoCellAnchor editAs="oneCell">
    <xdr:from>
      <xdr:col>5</xdr:col>
      <xdr:colOff>441614</xdr:colOff>
      <xdr:row>80</xdr:row>
      <xdr:rowOff>107950</xdr:rowOff>
    </xdr:from>
    <xdr:to>
      <xdr:col>8</xdr:col>
      <xdr:colOff>688750</xdr:colOff>
      <xdr:row>83</xdr:row>
      <xdr:rowOff>6349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12FB28A-08F2-4707-BD3D-A956257D9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04014" y="11697970"/>
          <a:ext cx="2624576" cy="492758"/>
        </a:xfrm>
        <a:prstGeom prst="rect">
          <a:avLst/>
        </a:prstGeom>
      </xdr:spPr>
    </xdr:pic>
    <xdr:clientData/>
  </xdr:twoCellAnchor>
  <xdr:twoCellAnchor editAs="oneCell">
    <xdr:from>
      <xdr:col>0</xdr:col>
      <xdr:colOff>615143</xdr:colOff>
      <xdr:row>1</xdr:row>
      <xdr:rowOff>142819</xdr:rowOff>
    </xdr:from>
    <xdr:to>
      <xdr:col>10</xdr:col>
      <xdr:colOff>399012</xdr:colOff>
      <xdr:row>5</xdr:row>
      <xdr:rowOff>20455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D33B0DC-39E6-414B-8360-C6349CDC1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5143" y="322928"/>
          <a:ext cx="7680960" cy="598072"/>
        </a:xfrm>
        <a:prstGeom prst="rect">
          <a:avLst/>
        </a:prstGeom>
      </xdr:spPr>
    </xdr:pic>
    <xdr:clientData/>
  </xdr:twoCellAnchor>
  <xdr:twoCellAnchor editAs="oneCell">
    <xdr:from>
      <xdr:col>3</xdr:col>
      <xdr:colOff>403932</xdr:colOff>
      <xdr:row>6</xdr:row>
      <xdr:rowOff>159958</xdr:rowOff>
    </xdr:from>
    <xdr:to>
      <xdr:col>12</xdr:col>
      <xdr:colOff>408709</xdr:colOff>
      <xdr:row>27</xdr:row>
      <xdr:rowOff>41507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57AC13A4-3F57-B2CC-D74D-368D25216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73059" y="1240613"/>
          <a:ext cx="7112159" cy="3663839"/>
        </a:xfrm>
        <a:prstGeom prst="rect">
          <a:avLst/>
        </a:prstGeom>
      </xdr:spPr>
    </xdr:pic>
    <xdr:clientData/>
  </xdr:twoCellAnchor>
  <xdr:twoCellAnchor editAs="oneCell">
    <xdr:from>
      <xdr:col>2</xdr:col>
      <xdr:colOff>540326</xdr:colOff>
      <xdr:row>66</xdr:row>
      <xdr:rowOff>0</xdr:rowOff>
    </xdr:from>
    <xdr:to>
      <xdr:col>5</xdr:col>
      <xdr:colOff>418660</xdr:colOff>
      <xdr:row>67</xdr:row>
      <xdr:rowOff>9449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FEB986A-06C5-6A1A-67CB-FFE81C637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19744" y="8264236"/>
          <a:ext cx="2247461" cy="2380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A943A-0E56-4677-85C2-5E1C26FC69C6}">
  <dimension ref="B8:M95"/>
  <sheetViews>
    <sheetView tabSelected="1" zoomScale="120" zoomScaleNormal="120" workbookViewId="0">
      <selection activeCell="I91" sqref="I91"/>
    </sheetView>
  </sheetViews>
  <sheetFormatPr baseColWidth="10" defaultRowHeight="14.4" x14ac:dyDescent="0.3"/>
  <sheetData>
    <row r="8" spans="2:2" x14ac:dyDescent="0.3">
      <c r="B8" t="s">
        <v>52</v>
      </c>
    </row>
    <row r="30" spans="2:3" ht="21" x14ac:dyDescent="0.4">
      <c r="B30" s="1" t="s">
        <v>10</v>
      </c>
    </row>
    <row r="32" spans="2:3" ht="18" x14ac:dyDescent="0.35">
      <c r="B32" t="s">
        <v>32</v>
      </c>
      <c r="C32" s="4" t="s">
        <v>49</v>
      </c>
    </row>
    <row r="34" spans="2:13" ht="15" thickBot="1" x14ac:dyDescent="0.35">
      <c r="B34" t="s">
        <v>12</v>
      </c>
    </row>
    <row r="35" spans="2:13" ht="16.2" thickBot="1" x14ac:dyDescent="0.35">
      <c r="B35" t="s">
        <v>13</v>
      </c>
      <c r="C35" t="s">
        <v>14</v>
      </c>
      <c r="M35" s="14" t="s">
        <v>31</v>
      </c>
    </row>
    <row r="37" spans="2:13" x14ac:dyDescent="0.3">
      <c r="B37" s="13" t="s">
        <v>4</v>
      </c>
      <c r="C37" s="13" t="s">
        <v>5</v>
      </c>
      <c r="F37" s="9" t="s">
        <v>3</v>
      </c>
      <c r="G37" s="9" t="s">
        <v>23</v>
      </c>
      <c r="H37" s="9" t="s">
        <v>24</v>
      </c>
      <c r="I37" s="9" t="s">
        <v>25</v>
      </c>
      <c r="J37" s="9" t="s">
        <v>26</v>
      </c>
      <c r="K37" s="9" t="s">
        <v>27</v>
      </c>
      <c r="L37" s="9" t="s">
        <v>28</v>
      </c>
      <c r="M37" s="9" t="s">
        <v>7</v>
      </c>
    </row>
    <row r="38" spans="2:13" x14ac:dyDescent="0.3">
      <c r="B38" s="10">
        <v>1</v>
      </c>
      <c r="C38" s="6">
        <f>(B38^3)-(EXP(0.8*B38))-20</f>
        <v>-21.225540928492467</v>
      </c>
      <c r="F38" s="11">
        <v>0</v>
      </c>
      <c r="G38" s="6">
        <v>3</v>
      </c>
      <c r="H38" s="6">
        <v>3.5</v>
      </c>
      <c r="I38" s="6">
        <f>(G38+H38)/2</f>
        <v>3.25</v>
      </c>
      <c r="J38" s="6">
        <f>(G38^3)-(EXP(0.8*G38))-20</f>
        <v>-4.0231763806416048</v>
      </c>
      <c r="K38" s="6">
        <f>(H38^3)-(EXP(0.8*H38))-20</f>
        <v>6.4303532289029448</v>
      </c>
      <c r="L38" s="6">
        <f>(I38^3)-(EXP(0.8*I38))-20</f>
        <v>0.86438696499831025</v>
      </c>
      <c r="M38" s="6">
        <v>9.9999999999999995E-7</v>
      </c>
    </row>
    <row r="39" spans="2:13" x14ac:dyDescent="0.3">
      <c r="B39" s="10">
        <v>1.5</v>
      </c>
      <c r="C39" s="6">
        <f t="shared" ref="C39:C44" si="0">(B39^3)-(EXP(0.8*B39))-20</f>
        <v>-19.945116922736549</v>
      </c>
      <c r="F39" s="11">
        <v>1</v>
      </c>
      <c r="G39" s="6">
        <f>G38</f>
        <v>3</v>
      </c>
      <c r="H39" s="6">
        <f>I38</f>
        <v>3.25</v>
      </c>
      <c r="I39" s="6">
        <f t="shared" ref="I39:I58" si="1">(G39+H39)/2</f>
        <v>3.125</v>
      </c>
      <c r="J39" s="6">
        <f t="shared" ref="J39:J58" si="2">(G39^3)-(EXP(0.8*G39))-20</f>
        <v>-4.0231763806416048</v>
      </c>
      <c r="K39" s="6">
        <f t="shared" ref="K39:K58" si="3">(H39^3)-(EXP(0.8*H39))-20</f>
        <v>0.86438696499831025</v>
      </c>
      <c r="L39" s="6">
        <f t="shared" ref="L39:L58" si="4">(I39^3)-(EXP(0.8*I39))-20</f>
        <v>-1.664915835703475</v>
      </c>
    </row>
    <row r="40" spans="2:13" x14ac:dyDescent="0.3">
      <c r="B40" s="10">
        <v>2</v>
      </c>
      <c r="C40" s="6">
        <f t="shared" si="0"/>
        <v>-16.953032424395115</v>
      </c>
      <c r="F40" s="11">
        <v>2</v>
      </c>
      <c r="G40" s="6">
        <f>I39</f>
        <v>3.125</v>
      </c>
      <c r="H40" s="6">
        <f>H39</f>
        <v>3.25</v>
      </c>
      <c r="I40" s="6">
        <f t="shared" si="1"/>
        <v>3.1875</v>
      </c>
      <c r="J40" s="6">
        <f t="shared" si="2"/>
        <v>-1.664915835703475</v>
      </c>
      <c r="K40" s="6">
        <f t="shared" si="3"/>
        <v>0.86438696499831025</v>
      </c>
      <c r="L40" s="6">
        <f t="shared" si="4"/>
        <v>-0.42160573578803451</v>
      </c>
    </row>
    <row r="41" spans="2:13" x14ac:dyDescent="0.3">
      <c r="B41" s="10">
        <v>2.5</v>
      </c>
      <c r="C41" s="6">
        <f t="shared" si="0"/>
        <v>-11.76405609893065</v>
      </c>
      <c r="F41" s="11">
        <v>3</v>
      </c>
      <c r="G41" s="6">
        <f>I40</f>
        <v>3.1875</v>
      </c>
      <c r="H41" s="6">
        <f>H40</f>
        <v>3.25</v>
      </c>
      <c r="I41" s="6">
        <f t="shared" si="1"/>
        <v>3.21875</v>
      </c>
      <c r="J41" s="6">
        <f t="shared" si="2"/>
        <v>-0.42160573578803451</v>
      </c>
      <c r="K41" s="6">
        <f t="shared" si="3"/>
        <v>0.86438696499831025</v>
      </c>
      <c r="L41" s="6">
        <f t="shared" si="4"/>
        <v>0.21606443330685821</v>
      </c>
    </row>
    <row r="42" spans="2:13" x14ac:dyDescent="0.3">
      <c r="B42" s="10">
        <v>3</v>
      </c>
      <c r="C42" s="28">
        <f t="shared" si="0"/>
        <v>-4.0231763806416048</v>
      </c>
      <c r="D42" t="s">
        <v>16</v>
      </c>
      <c r="F42" s="11">
        <v>4</v>
      </c>
      <c r="G42" s="6">
        <f>G41</f>
        <v>3.1875</v>
      </c>
      <c r="H42" s="6">
        <f>I41</f>
        <v>3.21875</v>
      </c>
      <c r="I42" s="6">
        <f t="shared" si="1"/>
        <v>3.203125</v>
      </c>
      <c r="J42" s="6">
        <f t="shared" si="2"/>
        <v>-0.42160573578803451</v>
      </c>
      <c r="K42" s="6">
        <f t="shared" si="3"/>
        <v>0.21606443330685821</v>
      </c>
      <c r="L42" s="6">
        <f t="shared" si="4"/>
        <v>-0.10410353645155368</v>
      </c>
    </row>
    <row r="43" spans="2:13" x14ac:dyDescent="0.3">
      <c r="B43" s="10">
        <v>3.5</v>
      </c>
      <c r="C43" s="28">
        <f t="shared" si="0"/>
        <v>6.4303532289029448</v>
      </c>
      <c r="D43" t="s">
        <v>15</v>
      </c>
      <c r="F43" s="11">
        <v>5</v>
      </c>
      <c r="G43" s="6">
        <f>I42</f>
        <v>3.203125</v>
      </c>
      <c r="H43" s="6">
        <f>H42</f>
        <v>3.21875</v>
      </c>
      <c r="I43" s="6">
        <f t="shared" si="1"/>
        <v>3.2109375</v>
      </c>
      <c r="J43" s="6">
        <f t="shared" si="2"/>
        <v>-0.10410353645155368</v>
      </c>
      <c r="K43" s="6">
        <f t="shared" si="3"/>
        <v>0.21606443330685821</v>
      </c>
      <c r="L43" s="6">
        <f t="shared" si="4"/>
        <v>5.5647382134296208E-2</v>
      </c>
    </row>
    <row r="44" spans="2:13" x14ac:dyDescent="0.3">
      <c r="B44" s="10">
        <v>4</v>
      </c>
      <c r="C44" s="6">
        <f t="shared" si="0"/>
        <v>19.467469802890648</v>
      </c>
      <c r="F44" s="11">
        <v>6</v>
      </c>
      <c r="G44" s="6">
        <f>G43</f>
        <v>3.203125</v>
      </c>
      <c r="H44" s="6">
        <f>I43</f>
        <v>3.2109375</v>
      </c>
      <c r="I44" s="6">
        <f t="shared" si="1"/>
        <v>3.20703125</v>
      </c>
      <c r="J44" s="6">
        <f t="shared" si="2"/>
        <v>-0.10410353645155368</v>
      </c>
      <c r="K44" s="6">
        <f t="shared" si="3"/>
        <v>5.5647382134296208E-2</v>
      </c>
      <c r="L44" s="6">
        <f t="shared" si="4"/>
        <v>-2.4311363882567605E-2</v>
      </c>
    </row>
    <row r="45" spans="2:13" x14ac:dyDescent="0.3">
      <c r="F45" s="11">
        <v>7</v>
      </c>
      <c r="G45" s="6">
        <f>I44</f>
        <v>3.20703125</v>
      </c>
      <c r="H45" s="6">
        <f>H44</f>
        <v>3.2109375</v>
      </c>
      <c r="I45" s="6">
        <f t="shared" si="1"/>
        <v>3.208984375</v>
      </c>
      <c r="J45" s="6">
        <f t="shared" si="2"/>
        <v>-2.4311363882567605E-2</v>
      </c>
      <c r="K45" s="6">
        <f t="shared" si="3"/>
        <v>5.5647382134296208E-2</v>
      </c>
      <c r="L45" s="6">
        <f t="shared" si="4"/>
        <v>1.5647189915139137E-2</v>
      </c>
    </row>
    <row r="46" spans="2:13" x14ac:dyDescent="0.3">
      <c r="B46" t="s">
        <v>17</v>
      </c>
      <c r="D46" t="s">
        <v>45</v>
      </c>
      <c r="E46" t="s">
        <v>50</v>
      </c>
      <c r="F46" s="11">
        <v>8</v>
      </c>
      <c r="G46" s="6">
        <f>G45</f>
        <v>3.20703125</v>
      </c>
      <c r="H46" s="6">
        <f>I45</f>
        <v>3.208984375</v>
      </c>
      <c r="I46" s="6">
        <f t="shared" si="1"/>
        <v>3.2080078125</v>
      </c>
      <c r="J46" s="6">
        <f t="shared" si="2"/>
        <v>-2.4311363882567605E-2</v>
      </c>
      <c r="K46" s="6">
        <f t="shared" si="3"/>
        <v>1.5647189915139137E-2</v>
      </c>
      <c r="L46" s="6">
        <f t="shared" si="4"/>
        <v>-4.3372920982065466E-3</v>
      </c>
    </row>
    <row r="47" spans="2:13" x14ac:dyDescent="0.3">
      <c r="F47" s="11">
        <v>9</v>
      </c>
      <c r="G47" s="6">
        <f>I46</f>
        <v>3.2080078125</v>
      </c>
      <c r="H47" s="6">
        <f>H46</f>
        <v>3.208984375</v>
      </c>
      <c r="I47" s="6">
        <f t="shared" si="1"/>
        <v>3.20849609375</v>
      </c>
      <c r="J47" s="6">
        <f t="shared" si="2"/>
        <v>-4.3372920982065466E-3</v>
      </c>
      <c r="K47" s="6">
        <f t="shared" si="3"/>
        <v>1.5647189915139137E-2</v>
      </c>
      <c r="L47" s="6">
        <f t="shared" si="4"/>
        <v>5.6536476686304127E-3</v>
      </c>
    </row>
    <row r="48" spans="2:13" x14ac:dyDescent="0.3">
      <c r="B48" t="s">
        <v>20</v>
      </c>
      <c r="C48" t="s">
        <v>21</v>
      </c>
      <c r="F48" s="11">
        <v>10</v>
      </c>
      <c r="G48" s="6">
        <f>G47</f>
        <v>3.2080078125</v>
      </c>
      <c r="H48" s="6">
        <f>I47</f>
        <v>3.20849609375</v>
      </c>
      <c r="I48" s="6">
        <f t="shared" si="1"/>
        <v>3.208251953125</v>
      </c>
      <c r="J48" s="6">
        <f t="shared" si="2"/>
        <v>-4.3372920982065466E-3</v>
      </c>
      <c r="K48" s="6">
        <f t="shared" si="3"/>
        <v>5.6536476686304127E-3</v>
      </c>
      <c r="L48" s="6">
        <f t="shared" si="4"/>
        <v>6.5785247038974148E-4</v>
      </c>
    </row>
    <row r="49" spans="2:12" x14ac:dyDescent="0.3">
      <c r="F49" s="11">
        <v>11</v>
      </c>
      <c r="G49" s="6">
        <f>G48</f>
        <v>3.2080078125</v>
      </c>
      <c r="H49" s="6">
        <f>I48</f>
        <v>3.208251953125</v>
      </c>
      <c r="I49" s="6">
        <f t="shared" si="1"/>
        <v>3.2081298828125</v>
      </c>
      <c r="J49" s="6">
        <f t="shared" si="2"/>
        <v>-4.3372920982065466E-3</v>
      </c>
      <c r="K49" s="6">
        <f t="shared" si="3"/>
        <v>6.5785247038974148E-4</v>
      </c>
      <c r="L49" s="6">
        <f t="shared" si="4"/>
        <v>-1.8398011432196881E-3</v>
      </c>
    </row>
    <row r="50" spans="2:12" x14ac:dyDescent="0.3">
      <c r="C50" t="s">
        <v>22</v>
      </c>
      <c r="F50" s="11">
        <v>12</v>
      </c>
      <c r="G50" s="6">
        <f>I49</f>
        <v>3.2081298828125</v>
      </c>
      <c r="H50" s="6">
        <f>H49</f>
        <v>3.208251953125</v>
      </c>
      <c r="I50" s="6">
        <f t="shared" si="1"/>
        <v>3.20819091796875</v>
      </c>
      <c r="J50" s="6">
        <f t="shared" si="2"/>
        <v>-1.8398011432196881E-3</v>
      </c>
      <c r="K50" s="6">
        <f t="shared" si="3"/>
        <v>6.5785247038974148E-4</v>
      </c>
      <c r="L50" s="6">
        <f t="shared" si="4"/>
        <v>-5.9099466866285866E-4</v>
      </c>
    </row>
    <row r="51" spans="2:12" x14ac:dyDescent="0.3">
      <c r="F51" s="11">
        <v>13</v>
      </c>
      <c r="G51" s="6">
        <f>I50</f>
        <v>3.20819091796875</v>
      </c>
      <c r="H51" s="6">
        <f>H50</f>
        <v>3.208251953125</v>
      </c>
      <c r="I51" s="6">
        <f t="shared" si="1"/>
        <v>3.208221435546875</v>
      </c>
      <c r="J51" s="6">
        <f t="shared" si="2"/>
        <v>-5.9099466866285866E-4</v>
      </c>
      <c r="K51" s="6">
        <f t="shared" si="3"/>
        <v>6.5785247038974148E-4</v>
      </c>
      <c r="L51" s="6">
        <f t="shared" si="4"/>
        <v>3.3423817811240042E-5</v>
      </c>
    </row>
    <row r="52" spans="2:12" x14ac:dyDescent="0.3">
      <c r="F52" s="11">
        <v>14</v>
      </c>
      <c r="G52" s="6">
        <f>G51</f>
        <v>3.20819091796875</v>
      </c>
      <c r="H52" s="6">
        <f>I51</f>
        <v>3.208221435546875</v>
      </c>
      <c r="I52" s="6">
        <f t="shared" si="1"/>
        <v>3.2082061767578125</v>
      </c>
      <c r="J52" s="6">
        <f t="shared" si="2"/>
        <v>-5.9099466866285866E-4</v>
      </c>
      <c r="K52" s="6">
        <f t="shared" si="3"/>
        <v>3.3423817811240042E-5</v>
      </c>
      <c r="L52" s="6">
        <f t="shared" si="4"/>
        <v>-2.7878669619951779E-4</v>
      </c>
    </row>
    <row r="53" spans="2:12" x14ac:dyDescent="0.3">
      <c r="B53" t="s">
        <v>29</v>
      </c>
      <c r="C53" t="s">
        <v>30</v>
      </c>
      <c r="F53" s="11">
        <v>15</v>
      </c>
      <c r="G53" s="6">
        <f>I52</f>
        <v>3.2082061767578125</v>
      </c>
      <c r="H53" s="6">
        <f>H52</f>
        <v>3.208221435546875</v>
      </c>
      <c r="I53" s="6">
        <f t="shared" si="1"/>
        <v>3.2082138061523438</v>
      </c>
      <c r="J53" s="6">
        <f t="shared" si="2"/>
        <v>-2.7878669619951779E-4</v>
      </c>
      <c r="K53" s="6">
        <f t="shared" si="3"/>
        <v>3.3423817811240042E-5</v>
      </c>
      <c r="L53" s="6">
        <f t="shared" si="4"/>
        <v>-1.2268175688490146E-4</v>
      </c>
    </row>
    <row r="54" spans="2:12" x14ac:dyDescent="0.3">
      <c r="F54" s="11">
        <v>16</v>
      </c>
      <c r="G54" s="6">
        <f>I53</f>
        <v>3.2082138061523438</v>
      </c>
      <c r="H54" s="6">
        <f>H53</f>
        <v>3.208221435546875</v>
      </c>
      <c r="I54" s="6">
        <f t="shared" si="1"/>
        <v>3.2082176208496094</v>
      </c>
      <c r="J54" s="6">
        <f t="shared" si="2"/>
        <v>-1.2268175688490146E-4</v>
      </c>
      <c r="K54" s="6">
        <f t="shared" si="3"/>
        <v>3.3423817811240042E-5</v>
      </c>
      <c r="L54" s="6">
        <f t="shared" si="4"/>
        <v>-4.4629048957744999E-5</v>
      </c>
    </row>
    <row r="55" spans="2:12" x14ac:dyDescent="0.3">
      <c r="F55" s="11">
        <v>17</v>
      </c>
      <c r="G55" s="6">
        <f>I54</f>
        <v>3.2082176208496094</v>
      </c>
      <c r="H55" s="6">
        <f>H54</f>
        <v>3.208221435546875</v>
      </c>
      <c r="I55" s="6">
        <f t="shared" si="1"/>
        <v>3.2082195281982422</v>
      </c>
      <c r="J55" s="6">
        <f t="shared" si="2"/>
        <v>-4.4629048957744999E-5</v>
      </c>
      <c r="K55" s="6">
        <f t="shared" si="3"/>
        <v>3.3423817811240042E-5</v>
      </c>
      <c r="L55" s="6">
        <f t="shared" si="4"/>
        <v>-5.6026354293692293E-6</v>
      </c>
    </row>
    <row r="56" spans="2:12" x14ac:dyDescent="0.3">
      <c r="F56" s="11">
        <v>18</v>
      </c>
      <c r="G56" s="6">
        <f>I55</f>
        <v>3.2082195281982422</v>
      </c>
      <c r="H56" s="6">
        <f>H55</f>
        <v>3.208221435546875</v>
      </c>
      <c r="I56" s="6">
        <f t="shared" si="1"/>
        <v>3.2082204818725586</v>
      </c>
      <c r="J56" s="6">
        <f t="shared" si="2"/>
        <v>-5.6026354293692293E-6</v>
      </c>
      <c r="K56" s="6">
        <f t="shared" si="3"/>
        <v>3.3423817811240042E-5</v>
      </c>
      <c r="L56" s="6">
        <f t="shared" si="4"/>
        <v>1.391058622601804E-5</v>
      </c>
    </row>
    <row r="57" spans="2:12" x14ac:dyDescent="0.3">
      <c r="F57" s="11">
        <v>19</v>
      </c>
      <c r="G57" s="6">
        <f>G56</f>
        <v>3.2082195281982422</v>
      </c>
      <c r="H57" s="6">
        <f>I56</f>
        <v>3.2082204818725586</v>
      </c>
      <c r="I57" s="6">
        <f t="shared" si="1"/>
        <v>3.2082200050354004</v>
      </c>
      <c r="J57" s="6">
        <f t="shared" si="2"/>
        <v>-5.6026354293692293E-6</v>
      </c>
      <c r="K57" s="6">
        <f t="shared" si="3"/>
        <v>1.391058622601804E-5</v>
      </c>
      <c r="L57" s="6">
        <f t="shared" si="4"/>
        <v>4.1539741566509747E-6</v>
      </c>
    </row>
    <row r="58" spans="2:12" x14ac:dyDescent="0.3">
      <c r="F58" s="11">
        <v>20</v>
      </c>
      <c r="G58" s="6">
        <f>G57</f>
        <v>3.2082195281982422</v>
      </c>
      <c r="H58" s="6">
        <f>I57</f>
        <v>3.2082200050354004</v>
      </c>
      <c r="I58" s="7">
        <f t="shared" si="1"/>
        <v>3.2082197666168213</v>
      </c>
      <c r="J58" s="6">
        <f t="shared" si="2"/>
        <v>-5.6026354293692293E-6</v>
      </c>
      <c r="K58" s="6">
        <f t="shared" si="3"/>
        <v>4.1539741566509747E-6</v>
      </c>
      <c r="L58" s="15">
        <f t="shared" si="4"/>
        <v>-7.2433094544521737E-7</v>
      </c>
    </row>
    <row r="59" spans="2:12" x14ac:dyDescent="0.3">
      <c r="I59" s="29" t="s">
        <v>53</v>
      </c>
    </row>
    <row r="63" spans="2:12" ht="21" x14ac:dyDescent="0.4">
      <c r="B63" s="1" t="s">
        <v>0</v>
      </c>
    </row>
    <row r="65" spans="2:7" ht="18" x14ac:dyDescent="0.35">
      <c r="B65" t="s">
        <v>32</v>
      </c>
      <c r="C65" s="4" t="s">
        <v>49</v>
      </c>
    </row>
    <row r="66" spans="2:7" ht="15.6" x14ac:dyDescent="0.3">
      <c r="C66" s="2"/>
    </row>
    <row r="67" spans="2:7" ht="18" x14ac:dyDescent="0.35">
      <c r="B67" t="s">
        <v>1</v>
      </c>
      <c r="C67" s="4" t="s">
        <v>39</v>
      </c>
    </row>
    <row r="70" spans="2:7" x14ac:dyDescent="0.3">
      <c r="F70" s="3" t="s">
        <v>8</v>
      </c>
      <c r="G70" s="3"/>
    </row>
    <row r="71" spans="2:7" x14ac:dyDescent="0.3">
      <c r="B71" s="9" t="s">
        <v>3</v>
      </c>
      <c r="C71" s="9" t="s">
        <v>4</v>
      </c>
      <c r="D71" s="9" t="s">
        <v>5</v>
      </c>
      <c r="E71" s="9" t="s">
        <v>6</v>
      </c>
      <c r="F71" s="9" t="s">
        <v>7</v>
      </c>
    </row>
    <row r="72" spans="2:7" x14ac:dyDescent="0.3">
      <c r="B72" s="5">
        <v>0</v>
      </c>
      <c r="C72" s="6">
        <v>3</v>
      </c>
      <c r="D72" s="6">
        <f>(C72^3)-(EXP(0.8*C72))-20</f>
        <v>-4.0231763806416048</v>
      </c>
      <c r="E72" s="6">
        <f>(3*(C72^2))-(0.8*EXP(0.8*C72))</f>
        <v>18.181458895486713</v>
      </c>
      <c r="F72" s="6">
        <v>9.9999999999999995E-7</v>
      </c>
    </row>
    <row r="73" spans="2:7" x14ac:dyDescent="0.3">
      <c r="B73" s="5">
        <v>1</v>
      </c>
      <c r="C73" s="6">
        <f>C72-(D72/E72)</f>
        <v>3.2212790735753498</v>
      </c>
      <c r="D73" s="6">
        <f t="shared" ref="D73:D75" si="5">(C73^3)-(EXP(0.8*C73))-20</f>
        <v>0.26813753807199703</v>
      </c>
      <c r="E73" s="6">
        <f t="shared" ref="E73:E75" si="6">(3*(C73^2))-(0.8*EXP(0.8*C73))</f>
        <v>20.603586923612387</v>
      </c>
    </row>
    <row r="74" spans="2:7" x14ac:dyDescent="0.3">
      <c r="B74" s="5">
        <v>2</v>
      </c>
      <c r="C74" s="6">
        <f>C73-(D73/E73)</f>
        <v>3.2082649542831065</v>
      </c>
      <c r="D74" s="6">
        <f t="shared" si="5"/>
        <v>9.2387586991549142E-4</v>
      </c>
      <c r="E74" s="6">
        <f t="shared" si="6"/>
        <v>20.461586566493899</v>
      </c>
    </row>
    <row r="75" spans="2:7" x14ac:dyDescent="0.3">
      <c r="B75" s="5">
        <v>3</v>
      </c>
      <c r="C75" s="7">
        <f t="shared" ref="C75" si="7">C74-(D74/E74)</f>
        <v>3.2082198025610289</v>
      </c>
      <c r="D75" s="24">
        <f t="shared" si="5"/>
        <v>1.1126843446618295E-8</v>
      </c>
      <c r="E75" s="6">
        <f t="shared" si="6"/>
        <v>20.461093701114216</v>
      </c>
    </row>
    <row r="76" spans="2:7" x14ac:dyDescent="0.3">
      <c r="C76" s="29" t="s">
        <v>53</v>
      </c>
    </row>
    <row r="79" spans="2:7" ht="21" x14ac:dyDescent="0.4">
      <c r="B79" s="1" t="s">
        <v>11</v>
      </c>
    </row>
    <row r="81" spans="2:11" ht="18" x14ac:dyDescent="0.35">
      <c r="B81" t="s">
        <v>32</v>
      </c>
      <c r="C81" s="4" t="s">
        <v>49</v>
      </c>
    </row>
    <row r="83" spans="2:11" x14ac:dyDescent="0.3">
      <c r="B83" t="s">
        <v>33</v>
      </c>
    </row>
    <row r="85" spans="2:11" x14ac:dyDescent="0.3">
      <c r="B85" s="17" t="s">
        <v>4</v>
      </c>
      <c r="C85" s="17" t="s">
        <v>5</v>
      </c>
      <c r="F85" s="21" t="s">
        <v>3</v>
      </c>
      <c r="G85" s="21" t="s">
        <v>4</v>
      </c>
      <c r="H85" s="21" t="s">
        <v>5</v>
      </c>
      <c r="I85" s="21" t="s">
        <v>7</v>
      </c>
    </row>
    <row r="86" spans="2:11" x14ac:dyDescent="0.3">
      <c r="B86" s="18">
        <v>1</v>
      </c>
      <c r="C86" s="6">
        <f>(B86^3)-(EXP(0.8*B86))-20</f>
        <v>-21.225540928492467</v>
      </c>
      <c r="F86" s="22">
        <v>0</v>
      </c>
      <c r="G86" s="20">
        <v>3</v>
      </c>
      <c r="H86" s="20">
        <f>(G86^3)-(EXP(0.8*G86))-20</f>
        <v>-4.0231763806416048</v>
      </c>
      <c r="I86" s="6">
        <v>9.9999999999999995E-7</v>
      </c>
      <c r="K86" s="16" t="s">
        <v>37</v>
      </c>
    </row>
    <row r="87" spans="2:11" x14ac:dyDescent="0.3">
      <c r="B87" s="18">
        <v>1.5</v>
      </c>
      <c r="C87" s="6">
        <f t="shared" ref="C87:C92" si="8">(B87^3)-(EXP(0.8*B87))-20</f>
        <v>-19.945116922736549</v>
      </c>
      <c r="F87" s="23">
        <v>1</v>
      </c>
      <c r="G87" s="6">
        <v>3.5</v>
      </c>
      <c r="H87" s="20">
        <f t="shared" ref="H87:H91" si="9">(G87^3)-(EXP(0.8*G87))-20</f>
        <v>6.4303532289029448</v>
      </c>
    </row>
    <row r="88" spans="2:11" x14ac:dyDescent="0.3">
      <c r="B88" s="18">
        <v>2</v>
      </c>
      <c r="C88" s="6">
        <f t="shared" si="8"/>
        <v>-16.953032424395115</v>
      </c>
      <c r="F88" s="23">
        <v>2</v>
      </c>
      <c r="G88" s="6">
        <f>G87-((H87*(G87-G86))/(H87-H86))</f>
        <v>3.192431481562374</v>
      </c>
      <c r="H88" s="20">
        <f t="shared" si="9"/>
        <v>-0.32168538701967719</v>
      </c>
    </row>
    <row r="89" spans="2:11" x14ac:dyDescent="0.3">
      <c r="B89" s="18">
        <v>2.5</v>
      </c>
      <c r="C89" s="6">
        <f t="shared" si="8"/>
        <v>-11.76405609893065</v>
      </c>
      <c r="F89" s="23">
        <v>3</v>
      </c>
      <c r="G89" s="6">
        <f>G88-((H88*(G88-G87))/(H88-H87))</f>
        <v>3.2070848778944621</v>
      </c>
      <c r="H89" s="20">
        <f t="shared" si="9"/>
        <v>-2.3214758603273822E-2</v>
      </c>
    </row>
    <row r="90" spans="2:11" x14ac:dyDescent="0.3">
      <c r="B90" s="18">
        <v>3</v>
      </c>
      <c r="C90" s="5">
        <f t="shared" si="8"/>
        <v>-4.0231763806416048</v>
      </c>
      <c r="D90" t="s">
        <v>16</v>
      </c>
      <c r="F90" s="23">
        <v>4</v>
      </c>
      <c r="G90" s="6">
        <f>G89-((H89*(G89-G88))/(H89-H88))</f>
        <v>3.2082246049770644</v>
      </c>
      <c r="H90" s="20">
        <f t="shared" si="9"/>
        <v>9.8273937219062191E-5</v>
      </c>
    </row>
    <row r="91" spans="2:11" x14ac:dyDescent="0.3">
      <c r="B91" s="18">
        <v>3.5</v>
      </c>
      <c r="C91" s="5">
        <f t="shared" si="8"/>
        <v>6.4303532289029448</v>
      </c>
      <c r="D91" t="s">
        <v>15</v>
      </c>
      <c r="F91" s="23">
        <v>5</v>
      </c>
      <c r="G91" s="7">
        <f>G90-((H90*(G90-G89))/(H90-H89))</f>
        <v>3.2082198005627278</v>
      </c>
      <c r="H91" s="27">
        <f t="shared" si="9"/>
        <v>-2.9760585107396764E-8</v>
      </c>
    </row>
    <row r="92" spans="2:11" x14ac:dyDescent="0.3">
      <c r="B92" s="18">
        <v>4</v>
      </c>
      <c r="C92" s="6">
        <f t="shared" si="8"/>
        <v>19.467469802890648</v>
      </c>
      <c r="G92" s="29" t="s">
        <v>53</v>
      </c>
    </row>
    <row r="94" spans="2:11" x14ac:dyDescent="0.3">
      <c r="B94" t="s">
        <v>34</v>
      </c>
      <c r="D94" t="s">
        <v>47</v>
      </c>
    </row>
    <row r="95" spans="2:11" x14ac:dyDescent="0.3">
      <c r="D95" t="s">
        <v>51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F29-F6AF-46BD-9B64-68C13C9B370B}">
  <dimension ref="B7:M93"/>
  <sheetViews>
    <sheetView topLeftCell="A71" zoomScale="120" zoomScaleNormal="120" workbookViewId="0">
      <selection activeCell="I30" sqref="I30"/>
    </sheetView>
  </sheetViews>
  <sheetFormatPr baseColWidth="10" defaultRowHeight="14.4" x14ac:dyDescent="0.3"/>
  <sheetData>
    <row r="7" spans="2:2" x14ac:dyDescent="0.3">
      <c r="B7" t="s">
        <v>52</v>
      </c>
    </row>
    <row r="28" spans="2:3" ht="21" x14ac:dyDescent="0.4">
      <c r="B28" s="1" t="s">
        <v>10</v>
      </c>
    </row>
    <row r="30" spans="2:3" ht="18" x14ac:dyDescent="0.35">
      <c r="B30" t="s">
        <v>32</v>
      </c>
      <c r="C30" s="4" t="s">
        <v>2</v>
      </c>
    </row>
    <row r="32" spans="2:3" ht="15" thickBot="1" x14ac:dyDescent="0.35">
      <c r="B32" t="s">
        <v>12</v>
      </c>
    </row>
    <row r="33" spans="2:13" ht="16.2" thickBot="1" x14ac:dyDescent="0.35">
      <c r="B33" t="s">
        <v>13</v>
      </c>
      <c r="C33" t="s">
        <v>14</v>
      </c>
      <c r="M33" s="14" t="s">
        <v>31</v>
      </c>
    </row>
    <row r="35" spans="2:13" x14ac:dyDescent="0.3">
      <c r="B35" s="13" t="s">
        <v>4</v>
      </c>
      <c r="C35" s="13" t="s">
        <v>5</v>
      </c>
      <c r="F35" s="9" t="s">
        <v>3</v>
      </c>
      <c r="G35" s="9" t="s">
        <v>23</v>
      </c>
      <c r="H35" s="9" t="s">
        <v>24</v>
      </c>
      <c r="I35" s="9" t="s">
        <v>25</v>
      </c>
      <c r="J35" s="9" t="s">
        <v>26</v>
      </c>
      <c r="K35" s="9" t="s">
        <v>27</v>
      </c>
      <c r="L35" s="9" t="s">
        <v>28</v>
      </c>
      <c r="M35" s="9" t="s">
        <v>7</v>
      </c>
    </row>
    <row r="36" spans="2:13" x14ac:dyDescent="0.3">
      <c r="B36" s="10">
        <v>0</v>
      </c>
      <c r="C36" s="6">
        <f>(3*SIN(0.5*B36))-(0.5*B36)+2</f>
        <v>2</v>
      </c>
      <c r="F36" s="11">
        <v>0</v>
      </c>
      <c r="G36" s="6">
        <v>5</v>
      </c>
      <c r="H36" s="6">
        <v>6</v>
      </c>
      <c r="I36" s="6">
        <f>(G36+H36)/2</f>
        <v>5.5</v>
      </c>
      <c r="J36" s="6">
        <f>(3*SIN(0.5*G36))-(0.5*G36)+2</f>
        <v>1.2954164323118698</v>
      </c>
      <c r="K36" s="6">
        <f t="shared" ref="J36:L51" si="0">(3*SIN(0.5*H36))-(0.5*H36)+2</f>
        <v>-0.57663997582039839</v>
      </c>
      <c r="L36" s="6">
        <f t="shared" si="0"/>
        <v>0.39498297615699496</v>
      </c>
      <c r="M36" s="6">
        <v>9.9999999999999995E-7</v>
      </c>
    </row>
    <row r="37" spans="2:13" x14ac:dyDescent="0.3">
      <c r="B37" s="10">
        <v>1</v>
      </c>
      <c r="C37" s="6">
        <f>L36</f>
        <v>0.39498297615699496</v>
      </c>
      <c r="F37" s="11">
        <v>1</v>
      </c>
      <c r="G37" s="6">
        <f>I36</f>
        <v>5.5</v>
      </c>
      <c r="H37" s="6">
        <f>H36</f>
        <v>6</v>
      </c>
      <c r="I37" s="6">
        <f>(G37+H37)/2</f>
        <v>5.75</v>
      </c>
      <c r="J37" s="6">
        <f>(3*SIN(0.5*G37))-(0.5*G37)+2</f>
        <v>0.39498297615699496</v>
      </c>
      <c r="K37" s="6">
        <f t="shared" ref="K37:L39" si="1">(3*SIN(0.5*H37))-(0.5*H37)+2</f>
        <v>-0.57663997582039839</v>
      </c>
      <c r="L37" s="6">
        <f t="shared" si="1"/>
        <v>-8.4662019909737651E-2</v>
      </c>
    </row>
    <row r="38" spans="2:13" x14ac:dyDescent="0.3">
      <c r="B38" s="10">
        <v>2</v>
      </c>
      <c r="C38" s="6">
        <f t="shared" ref="C38:C42" si="2">(3*SIN(0.5*B38))-(0.5*B38)+2</f>
        <v>3.5244129544236893</v>
      </c>
      <c r="F38" s="11">
        <v>2</v>
      </c>
      <c r="G38" s="6">
        <f>G37</f>
        <v>5.5</v>
      </c>
      <c r="H38" s="6">
        <f>I37</f>
        <v>5.75</v>
      </c>
      <c r="I38" s="6">
        <f>(G38+H38)/2</f>
        <v>5.625</v>
      </c>
      <c r="J38" s="6">
        <f>(3*SIN(0.5*G38))-(0.5*G38)+2</f>
        <v>0.39498297615699496</v>
      </c>
      <c r="K38" s="6">
        <f t="shared" si="1"/>
        <v>-8.4662019909737651E-2</v>
      </c>
      <c r="L38" s="6">
        <f t="shared" si="1"/>
        <v>0.15705352099906067</v>
      </c>
    </row>
    <row r="39" spans="2:13" x14ac:dyDescent="0.3">
      <c r="B39" s="10">
        <v>3</v>
      </c>
      <c r="C39" s="6">
        <f t="shared" si="2"/>
        <v>3.4924849598121632</v>
      </c>
      <c r="F39" s="11">
        <v>3</v>
      </c>
      <c r="G39" s="6">
        <f>I38</f>
        <v>5.625</v>
      </c>
      <c r="H39" s="6">
        <f>H38</f>
        <v>5.75</v>
      </c>
      <c r="I39" s="6">
        <f t="shared" ref="I39:I55" si="3">(G39+H39)/2</f>
        <v>5.6875</v>
      </c>
      <c r="J39" s="6">
        <f>(3*SIN(0.5*G39))-(0.5*G39)+2</f>
        <v>0.15705352099906067</v>
      </c>
      <c r="K39" s="6">
        <f t="shared" si="1"/>
        <v>-8.4662019909737651E-2</v>
      </c>
      <c r="L39" s="6">
        <f t="shared" si="1"/>
        <v>3.6625586454641201E-2</v>
      </c>
    </row>
    <row r="40" spans="2:13" x14ac:dyDescent="0.3">
      <c r="B40" s="10">
        <v>4</v>
      </c>
      <c r="C40" s="6">
        <f t="shared" si="2"/>
        <v>2.7278922804770449</v>
      </c>
      <c r="F40" s="11">
        <v>4</v>
      </c>
      <c r="G40" s="6">
        <f>I39</f>
        <v>5.6875</v>
      </c>
      <c r="H40" s="6">
        <f>H39</f>
        <v>5.75</v>
      </c>
      <c r="I40" s="6">
        <f t="shared" si="3"/>
        <v>5.71875</v>
      </c>
      <c r="J40" s="6">
        <f t="shared" si="0"/>
        <v>3.6625586454641201E-2</v>
      </c>
      <c r="K40" s="6">
        <f t="shared" si="0"/>
        <v>-8.4662019909737651E-2</v>
      </c>
      <c r="L40" s="6">
        <f t="shared" si="0"/>
        <v>-2.3916234089780275E-2</v>
      </c>
    </row>
    <row r="41" spans="2:13" x14ac:dyDescent="0.3">
      <c r="B41" s="10">
        <v>5</v>
      </c>
      <c r="C41" s="12">
        <f t="shared" si="2"/>
        <v>1.2954164323118698</v>
      </c>
      <c r="D41" t="s">
        <v>15</v>
      </c>
      <c r="F41" s="11">
        <v>5</v>
      </c>
      <c r="G41" s="6">
        <f>G40</f>
        <v>5.6875</v>
      </c>
      <c r="H41" s="6">
        <f>I40</f>
        <v>5.71875</v>
      </c>
      <c r="I41" s="6">
        <f t="shared" si="3"/>
        <v>5.703125</v>
      </c>
      <c r="J41" s="6">
        <f t="shared" si="0"/>
        <v>3.6625586454641201E-2</v>
      </c>
      <c r="K41" s="6">
        <f t="shared" si="0"/>
        <v>-2.3916234089780275E-2</v>
      </c>
      <c r="L41" s="6">
        <f t="shared" si="0"/>
        <v>6.3808584027273962E-3</v>
      </c>
    </row>
    <row r="42" spans="2:13" x14ac:dyDescent="0.3">
      <c r="B42" s="10">
        <v>6</v>
      </c>
      <c r="C42" s="12">
        <f t="shared" si="2"/>
        <v>-0.57663997582039839</v>
      </c>
      <c r="D42" t="s">
        <v>16</v>
      </c>
      <c r="F42" s="11">
        <v>6</v>
      </c>
      <c r="G42" s="6">
        <f>I41</f>
        <v>5.703125</v>
      </c>
      <c r="H42" s="6">
        <f>H41</f>
        <v>5.71875</v>
      </c>
      <c r="I42" s="6">
        <f t="shared" si="3"/>
        <v>5.7109375</v>
      </c>
      <c r="J42" s="6">
        <f t="shared" si="0"/>
        <v>6.3808584027273962E-3</v>
      </c>
      <c r="K42" s="6">
        <f t="shared" si="0"/>
        <v>-2.3916234089780275E-2</v>
      </c>
      <c r="L42" s="6">
        <f t="shared" si="0"/>
        <v>-8.7612279860023179E-3</v>
      </c>
    </row>
    <row r="43" spans="2:13" x14ac:dyDescent="0.3">
      <c r="F43" s="11">
        <v>7</v>
      </c>
      <c r="G43" s="6">
        <f>G42</f>
        <v>5.703125</v>
      </c>
      <c r="H43" s="6">
        <f>I42</f>
        <v>5.7109375</v>
      </c>
      <c r="I43" s="6">
        <f t="shared" si="3"/>
        <v>5.70703125</v>
      </c>
      <c r="J43" s="6">
        <f t="shared" si="0"/>
        <v>6.3808584027273962E-3</v>
      </c>
      <c r="K43" s="6">
        <f t="shared" si="0"/>
        <v>-8.7612279860023179E-3</v>
      </c>
      <c r="L43" s="6">
        <f t="shared" si="0"/>
        <v>-1.1885591072906543E-3</v>
      </c>
    </row>
    <row r="44" spans="2:13" x14ac:dyDescent="0.3">
      <c r="B44" t="s">
        <v>17</v>
      </c>
      <c r="D44" t="s">
        <v>18</v>
      </c>
      <c r="E44" t="s">
        <v>19</v>
      </c>
      <c r="F44" s="11">
        <v>8</v>
      </c>
      <c r="G44" s="6">
        <f>G43</f>
        <v>5.703125</v>
      </c>
      <c r="H44" s="6">
        <f>I43</f>
        <v>5.70703125</v>
      </c>
      <c r="I44" s="6">
        <f t="shared" si="3"/>
        <v>5.705078125</v>
      </c>
      <c r="J44" s="6">
        <f t="shared" si="0"/>
        <v>6.3808584027273962E-3</v>
      </c>
      <c r="K44" s="6">
        <f t="shared" si="0"/>
        <v>-1.1885591072906543E-3</v>
      </c>
      <c r="L44" s="6">
        <f t="shared" si="0"/>
        <v>2.5965574081250331E-3</v>
      </c>
    </row>
    <row r="45" spans="2:13" x14ac:dyDescent="0.3">
      <c r="F45" s="11">
        <v>9</v>
      </c>
      <c r="G45" s="6">
        <f>I44</f>
        <v>5.705078125</v>
      </c>
      <c r="H45" s="6">
        <f>H44</f>
        <v>5.70703125</v>
      </c>
      <c r="I45" s="6">
        <f t="shared" si="3"/>
        <v>5.7060546875</v>
      </c>
      <c r="J45" s="6">
        <f t="shared" si="0"/>
        <v>2.5965574081250331E-3</v>
      </c>
      <c r="K45" s="6">
        <f t="shared" si="0"/>
        <v>-1.1885591072906543E-3</v>
      </c>
      <c r="L45" s="6">
        <f t="shared" si="0"/>
        <v>7.0410092313410999E-4</v>
      </c>
    </row>
    <row r="46" spans="2:13" x14ac:dyDescent="0.3">
      <c r="B46" t="s">
        <v>20</v>
      </c>
      <c r="C46" t="s">
        <v>21</v>
      </c>
      <c r="F46" s="11">
        <v>10</v>
      </c>
      <c r="G46" s="6">
        <f>I45</f>
        <v>5.7060546875</v>
      </c>
      <c r="H46" s="6">
        <f>H45</f>
        <v>5.70703125</v>
      </c>
      <c r="I46" s="6">
        <f t="shared" si="3"/>
        <v>5.70654296875</v>
      </c>
      <c r="J46" s="6">
        <f t="shared" si="0"/>
        <v>7.0410092313410999E-4</v>
      </c>
      <c r="K46" s="6">
        <f t="shared" si="0"/>
        <v>-1.1885591072906543E-3</v>
      </c>
      <c r="L46" s="6">
        <f t="shared" si="0"/>
        <v>-2.4220366982463659E-4</v>
      </c>
    </row>
    <row r="47" spans="2:13" x14ac:dyDescent="0.3">
      <c r="F47" s="11">
        <v>11</v>
      </c>
      <c r="G47" s="6">
        <f>G46</f>
        <v>5.7060546875</v>
      </c>
      <c r="H47" s="6">
        <f>I46</f>
        <v>5.70654296875</v>
      </c>
      <c r="I47" s="6">
        <f t="shared" si="3"/>
        <v>5.706298828125</v>
      </c>
      <c r="J47" s="6">
        <f t="shared" si="0"/>
        <v>7.0410092313410999E-4</v>
      </c>
      <c r="K47" s="6">
        <f t="shared" si="0"/>
        <v>-2.4220366982463659E-4</v>
      </c>
      <c r="L47" s="6">
        <f t="shared" si="0"/>
        <v>2.3095498483405308E-4</v>
      </c>
    </row>
    <row r="48" spans="2:13" x14ac:dyDescent="0.3">
      <c r="C48" t="s">
        <v>22</v>
      </c>
      <c r="F48" s="11">
        <v>12</v>
      </c>
      <c r="G48" s="6">
        <f>I47</f>
        <v>5.706298828125</v>
      </c>
      <c r="H48" s="6">
        <f>H47</f>
        <v>5.70654296875</v>
      </c>
      <c r="I48" s="6">
        <f t="shared" si="3"/>
        <v>5.7064208984375</v>
      </c>
      <c r="J48" s="6">
        <f t="shared" si="0"/>
        <v>2.3095498483405308E-4</v>
      </c>
      <c r="K48" s="6">
        <f t="shared" si="0"/>
        <v>-2.4220366982463659E-4</v>
      </c>
      <c r="L48" s="6">
        <f t="shared" si="0"/>
        <v>-5.622753277645387E-6</v>
      </c>
    </row>
    <row r="49" spans="2:12" x14ac:dyDescent="0.3">
      <c r="F49" s="11">
        <v>13</v>
      </c>
      <c r="G49" s="6">
        <f>G48</f>
        <v>5.706298828125</v>
      </c>
      <c r="H49" s="6">
        <f>I48</f>
        <v>5.7064208984375</v>
      </c>
      <c r="I49" s="6">
        <f t="shared" si="3"/>
        <v>5.70635986328125</v>
      </c>
      <c r="J49" s="6">
        <f t="shared" si="0"/>
        <v>2.3095498483405308E-4</v>
      </c>
      <c r="K49" s="6">
        <f t="shared" si="0"/>
        <v>-5.622753277645387E-6</v>
      </c>
      <c r="L49" s="6">
        <f t="shared" si="0"/>
        <v>1.1266651312347165E-4</v>
      </c>
    </row>
    <row r="50" spans="2:12" x14ac:dyDescent="0.3">
      <c r="F50" s="11">
        <v>14</v>
      </c>
      <c r="G50" s="6">
        <f>I49</f>
        <v>5.70635986328125</v>
      </c>
      <c r="H50" s="6">
        <f>H49</f>
        <v>5.7064208984375</v>
      </c>
      <c r="I50" s="6">
        <f t="shared" si="3"/>
        <v>5.706390380859375</v>
      </c>
      <c r="J50" s="6">
        <f t="shared" si="0"/>
        <v>1.1266651312347165E-4</v>
      </c>
      <c r="K50" s="6">
        <f t="shared" si="0"/>
        <v>-5.622753277645387E-6</v>
      </c>
      <c r="L50" s="6">
        <f t="shared" si="0"/>
        <v>5.3521979254123053E-5</v>
      </c>
    </row>
    <row r="51" spans="2:12" x14ac:dyDescent="0.3">
      <c r="B51" t="s">
        <v>29</v>
      </c>
      <c r="C51" t="s">
        <v>30</v>
      </c>
      <c r="F51" s="11">
        <v>15</v>
      </c>
      <c r="G51" s="6">
        <f>I50</f>
        <v>5.706390380859375</v>
      </c>
      <c r="H51" s="6">
        <f>H50</f>
        <v>5.7064208984375</v>
      </c>
      <c r="I51" s="6">
        <f t="shared" si="3"/>
        <v>5.7064056396484375</v>
      </c>
      <c r="J51" s="6">
        <f t="shared" si="0"/>
        <v>5.3521979254123053E-5</v>
      </c>
      <c r="K51" s="6">
        <f t="shared" si="0"/>
        <v>-5.622753277645387E-6</v>
      </c>
      <c r="L51" s="6">
        <f t="shared" si="0"/>
        <v>2.3949637820486203E-5</v>
      </c>
    </row>
    <row r="52" spans="2:12" x14ac:dyDescent="0.3">
      <c r="F52" s="11">
        <v>16</v>
      </c>
      <c r="G52" s="6">
        <f>I51</f>
        <v>5.7064056396484375</v>
      </c>
      <c r="H52" s="6">
        <f>H51</f>
        <v>5.7064208984375</v>
      </c>
      <c r="I52" s="6">
        <f t="shared" si="3"/>
        <v>5.7064132690429688</v>
      </c>
      <c r="J52" s="6">
        <f t="shared" ref="J52:L55" si="4">(3*SIN(0.5*G52))-(0.5*G52)+2</f>
        <v>2.3949637820486203E-5</v>
      </c>
      <c r="K52" s="6">
        <f t="shared" si="4"/>
        <v>-5.622753277645387E-6</v>
      </c>
      <c r="L52" s="6">
        <f t="shared" si="4"/>
        <v>9.1634484795655169E-6</v>
      </c>
    </row>
    <row r="53" spans="2:12" x14ac:dyDescent="0.3">
      <c r="F53" s="11">
        <v>17</v>
      </c>
      <c r="G53" s="6">
        <f>I52</f>
        <v>5.7064132690429688</v>
      </c>
      <c r="H53" s="6">
        <f>H52</f>
        <v>5.7064208984375</v>
      </c>
      <c r="I53" s="6">
        <f t="shared" si="3"/>
        <v>5.7064170837402344</v>
      </c>
      <c r="J53" s="6">
        <f t="shared" si="4"/>
        <v>9.1634484795655169E-6</v>
      </c>
      <c r="K53" s="6">
        <f t="shared" si="4"/>
        <v>-5.622753277645387E-6</v>
      </c>
      <c r="L53" s="6">
        <f t="shared" si="4"/>
        <v>1.7703491530518534E-6</v>
      </c>
    </row>
    <row r="54" spans="2:12" x14ac:dyDescent="0.3">
      <c r="F54" s="11">
        <v>18</v>
      </c>
      <c r="G54" s="6">
        <f>I53</f>
        <v>5.7064170837402344</v>
      </c>
      <c r="H54" s="6">
        <f>H53</f>
        <v>5.7064208984375</v>
      </c>
      <c r="I54" s="6">
        <f t="shared" si="3"/>
        <v>5.7064189910888672</v>
      </c>
      <c r="J54" s="6">
        <f t="shared" si="4"/>
        <v>1.7703491530518534E-6</v>
      </c>
      <c r="K54" s="6">
        <f t="shared" si="4"/>
        <v>-5.622753277645387E-6</v>
      </c>
      <c r="L54" s="6">
        <f t="shared" si="4"/>
        <v>-1.9262016741627974E-6</v>
      </c>
    </row>
    <row r="55" spans="2:12" x14ac:dyDescent="0.3">
      <c r="F55" s="11">
        <v>19</v>
      </c>
      <c r="G55" s="6">
        <f>G54</f>
        <v>5.7064170837402344</v>
      </c>
      <c r="H55" s="6">
        <f>I54</f>
        <v>5.7064189910888672</v>
      </c>
      <c r="I55" s="7">
        <f t="shared" si="3"/>
        <v>5.7064180374145508</v>
      </c>
      <c r="J55" s="6">
        <f t="shared" si="4"/>
        <v>1.7703491530518534E-6</v>
      </c>
      <c r="K55" s="6">
        <f t="shared" si="4"/>
        <v>-1.9262016741627974E-6</v>
      </c>
      <c r="L55" s="15">
        <f t="shared" si="4"/>
        <v>-7.7926163744024279E-8</v>
      </c>
    </row>
    <row r="56" spans="2:12" x14ac:dyDescent="0.3">
      <c r="I56" s="29" t="s">
        <v>53</v>
      </c>
    </row>
    <row r="58" spans="2:12" ht="21" x14ac:dyDescent="0.4">
      <c r="B58" s="1" t="s">
        <v>0</v>
      </c>
    </row>
    <row r="60" spans="2:12" ht="18" x14ac:dyDescent="0.35">
      <c r="B60" t="s">
        <v>32</v>
      </c>
      <c r="C60" s="4" t="s">
        <v>2</v>
      </c>
    </row>
    <row r="61" spans="2:12" ht="15.6" x14ac:dyDescent="0.3">
      <c r="C61" s="2"/>
    </row>
    <row r="62" spans="2:12" ht="18" x14ac:dyDescent="0.35">
      <c r="B62" t="s">
        <v>1</v>
      </c>
      <c r="C62" s="4" t="s">
        <v>9</v>
      </c>
    </row>
    <row r="65" spans="2:7" x14ac:dyDescent="0.3">
      <c r="F65" s="3" t="s">
        <v>8</v>
      </c>
      <c r="G65" s="3"/>
    </row>
    <row r="66" spans="2:7" x14ac:dyDescent="0.3">
      <c r="B66" s="9" t="s">
        <v>3</v>
      </c>
      <c r="C66" s="9" t="s">
        <v>4</v>
      </c>
      <c r="D66" s="9" t="s">
        <v>5</v>
      </c>
      <c r="E66" s="9" t="s">
        <v>6</v>
      </c>
      <c r="F66" s="9" t="s">
        <v>7</v>
      </c>
    </row>
    <row r="67" spans="2:7" x14ac:dyDescent="0.3">
      <c r="B67" s="5">
        <v>0</v>
      </c>
      <c r="C67" s="6">
        <v>2</v>
      </c>
      <c r="D67" s="6">
        <f>(3*SIN(0.5*C67))-(0.5*C67)+2</f>
        <v>3.5244129544236893</v>
      </c>
      <c r="E67" s="6">
        <f>(1.5*COS(0.5*C67))-0.5</f>
        <v>0.31045345880220965</v>
      </c>
      <c r="F67" s="6">
        <v>9.9999999999999995E-7</v>
      </c>
    </row>
    <row r="68" spans="2:7" x14ac:dyDescent="0.3">
      <c r="B68" s="5">
        <v>1</v>
      </c>
      <c r="C68" s="6">
        <f>C67-(D67/E67)</f>
        <v>-9.3524679931786423</v>
      </c>
      <c r="D68" s="6">
        <f>(3*SIN(0.5*C68))-(0.5*C68)+2</f>
        <v>9.6742734358910258</v>
      </c>
      <c r="E68" s="6">
        <f>(1.5*COS(0.5*C68))-0.5</f>
        <v>-0.55422066117154734</v>
      </c>
    </row>
    <row r="69" spans="2:7" x14ac:dyDescent="0.3">
      <c r="B69" s="5">
        <v>2</v>
      </c>
      <c r="C69" s="6">
        <f>C68-(D68/E68)</f>
        <v>8.1031667632754463</v>
      </c>
      <c r="D69" s="6">
        <f t="shared" ref="D69:D74" si="5">(3*SIN(0.5*C69))-(0.5*C69)+2</f>
        <v>-4.4200775287422474</v>
      </c>
      <c r="E69" s="6">
        <f t="shared" ref="E69:E74" si="6">(1.5*COS(0.5*C69))-0.5</f>
        <v>-1.420629604554895</v>
      </c>
    </row>
    <row r="70" spans="2:7" x14ac:dyDescent="0.3">
      <c r="B70" s="5">
        <v>3</v>
      </c>
      <c r="C70" s="6">
        <f t="shared" ref="C70:C74" si="7">C69-(D69/E69)</f>
        <v>4.9918156309532922</v>
      </c>
      <c r="D70" s="6">
        <f t="shared" si="5"/>
        <v>1.3093288389209659</v>
      </c>
      <c r="E70" s="6">
        <f t="shared" si="6"/>
        <v>-1.6980317839710386</v>
      </c>
    </row>
    <row r="71" spans="2:7" x14ac:dyDescent="0.3">
      <c r="B71" s="5">
        <v>4</v>
      </c>
      <c r="C71" s="6">
        <f>C70-(D70/E70)</f>
        <v>5.7629018092455224</v>
      </c>
      <c r="D71" s="6">
        <f t="shared" si="5"/>
        <v>-0.10979830235241028</v>
      </c>
      <c r="E71" s="6">
        <f t="shared" si="6"/>
        <v>-1.9495302912848524</v>
      </c>
    </row>
    <row r="72" spans="2:7" x14ac:dyDescent="0.3">
      <c r="B72" s="5">
        <v>5</v>
      </c>
      <c r="C72" s="6">
        <f t="shared" si="7"/>
        <v>5.7065814212816877</v>
      </c>
      <c r="D72" s="6">
        <f t="shared" si="5"/>
        <v>-3.1672805950044847E-4</v>
      </c>
      <c r="E72" s="6">
        <f t="shared" si="6"/>
        <v>-1.9380920854590051</v>
      </c>
    </row>
    <row r="73" spans="2:7" x14ac:dyDescent="0.3">
      <c r="B73" s="5">
        <v>6</v>
      </c>
      <c r="C73" s="6">
        <f t="shared" si="7"/>
        <v>5.7064179986755708</v>
      </c>
      <c r="D73" s="6">
        <f t="shared" si="5"/>
        <v>-2.8478028823997192E-9</v>
      </c>
      <c r="E73" s="6">
        <f t="shared" si="6"/>
        <v>-1.9380572318503666</v>
      </c>
    </row>
    <row r="74" spans="2:7" x14ac:dyDescent="0.3">
      <c r="B74" s="5">
        <v>7</v>
      </c>
      <c r="C74" s="7">
        <f t="shared" si="7"/>
        <v>5.7064179972061595</v>
      </c>
      <c r="D74" s="24">
        <f t="shared" si="5"/>
        <v>0</v>
      </c>
      <c r="E74" s="6">
        <f t="shared" si="6"/>
        <v>-1.938057231536938</v>
      </c>
    </row>
    <row r="75" spans="2:7" x14ac:dyDescent="0.3">
      <c r="C75" s="29" t="s">
        <v>53</v>
      </c>
    </row>
    <row r="78" spans="2:7" ht="21" x14ac:dyDescent="0.4">
      <c r="B78" s="1" t="s">
        <v>11</v>
      </c>
    </row>
    <row r="80" spans="2:7" ht="18" x14ac:dyDescent="0.35">
      <c r="B80" t="s">
        <v>32</v>
      </c>
      <c r="C80" s="4" t="s">
        <v>2</v>
      </c>
    </row>
    <row r="82" spans="2:11" x14ac:dyDescent="0.3">
      <c r="B82" t="s">
        <v>33</v>
      </c>
    </row>
    <row r="84" spans="2:11" x14ac:dyDescent="0.3">
      <c r="B84" s="17" t="s">
        <v>4</v>
      </c>
      <c r="C84" s="17" t="s">
        <v>5</v>
      </c>
      <c r="F84" s="21" t="s">
        <v>3</v>
      </c>
      <c r="G84" s="21" t="s">
        <v>4</v>
      </c>
      <c r="H84" s="21" t="s">
        <v>5</v>
      </c>
      <c r="I84" s="21" t="s">
        <v>7</v>
      </c>
    </row>
    <row r="85" spans="2:11" x14ac:dyDescent="0.3">
      <c r="B85" s="18">
        <v>1</v>
      </c>
      <c r="C85" s="6">
        <f>(3*SIN(0.5*B85))-(0.5*B85)+2</f>
        <v>2.938276615812609</v>
      </c>
      <c r="F85" s="22">
        <v>0</v>
      </c>
      <c r="G85" s="20">
        <v>5</v>
      </c>
      <c r="H85" s="20">
        <f>(3*SIN(0.5*G85))-(0.5*G85)+2</f>
        <v>1.2954164323118698</v>
      </c>
      <c r="I85" s="6">
        <v>9.9999999999999995E-7</v>
      </c>
      <c r="K85" s="16" t="s">
        <v>37</v>
      </c>
    </row>
    <row r="86" spans="2:11" x14ac:dyDescent="0.3">
      <c r="B86" s="18">
        <v>2</v>
      </c>
      <c r="C86" s="6">
        <f>(3*SIN(0.5*B86))-(0.5*B86)+2</f>
        <v>3.5244129544236893</v>
      </c>
      <c r="F86" s="23">
        <v>1</v>
      </c>
      <c r="G86" s="6">
        <v>6</v>
      </c>
      <c r="H86" s="6">
        <f>(3*SIN(0.5*G86))-(0.5*G86)+2</f>
        <v>-0.57663997582039839</v>
      </c>
    </row>
    <row r="87" spans="2:11" x14ac:dyDescent="0.3">
      <c r="B87" s="18">
        <v>3</v>
      </c>
      <c r="C87" s="6">
        <f>(3*SIN(0.5*B87))-(0.5*B87)+2</f>
        <v>3.4924849598121632</v>
      </c>
      <c r="F87" s="23">
        <v>2</v>
      </c>
      <c r="G87" s="6">
        <f>G86-((H86*(G86-G85))/(H86-H85))</f>
        <v>5.6919751064575523</v>
      </c>
      <c r="H87" s="6">
        <f>(3*SIN(0.5*G87))-(0.5*G87)+2</f>
        <v>2.7968721321341095E-2</v>
      </c>
    </row>
    <row r="88" spans="2:11" x14ac:dyDescent="0.3">
      <c r="B88" s="18">
        <v>4</v>
      </c>
      <c r="C88" s="6">
        <f>(3*SIN(0.5*B88))-(0.5*B88)+2</f>
        <v>2.7278922804770449</v>
      </c>
      <c r="F88" s="23">
        <v>3</v>
      </c>
      <c r="G88" s="6">
        <f>G87-((H87*(G87-G86))/(H87-H86))</f>
        <v>5.7062240950153615</v>
      </c>
      <c r="H88" s="6">
        <f>(3*SIN(0.5*G88))-(0.5*G88)+2</f>
        <v>3.7578953277472849E-4</v>
      </c>
    </row>
    <row r="89" spans="2:11" x14ac:dyDescent="0.3">
      <c r="B89" s="18">
        <v>5</v>
      </c>
      <c r="C89" s="19">
        <f>(3*SIN(0.5*B89))-(0.5*B89)+2</f>
        <v>1.2954164323118698</v>
      </c>
      <c r="D89" t="s">
        <v>15</v>
      </c>
      <c r="F89" s="23">
        <v>4</v>
      </c>
      <c r="G89" s="7">
        <f>G88-((H88*(G88-G87))/(H88-H87))</f>
        <v>5.7064181527107776</v>
      </c>
      <c r="H89" s="24">
        <f>(3*SIN(0.5*G89))-(0.5*G89)+2</f>
        <v>-3.0137685236297784E-7</v>
      </c>
    </row>
    <row r="90" spans="2:11" x14ac:dyDescent="0.3">
      <c r="B90" s="18">
        <v>6</v>
      </c>
      <c r="C90" s="19">
        <f t="shared" ref="C90" si="8">(3*SIN(0.5*B90))-(0.5*B90)+2</f>
        <v>-0.57663997582039839</v>
      </c>
      <c r="D90" t="s">
        <v>16</v>
      </c>
      <c r="G90" s="29" t="s">
        <v>53</v>
      </c>
    </row>
    <row r="92" spans="2:11" x14ac:dyDescent="0.3">
      <c r="B92" t="s">
        <v>34</v>
      </c>
      <c r="D92" t="s">
        <v>35</v>
      </c>
    </row>
    <row r="93" spans="2:11" x14ac:dyDescent="0.3">
      <c r="D93" t="s">
        <v>36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3B352-A3D1-4D99-98AE-E3FE826E898C}">
  <dimension ref="B8:M100"/>
  <sheetViews>
    <sheetView topLeftCell="A7" zoomScale="110" zoomScaleNormal="110" workbookViewId="0">
      <selection activeCell="B8" sqref="B8"/>
    </sheetView>
  </sheetViews>
  <sheetFormatPr baseColWidth="10" defaultRowHeight="14.4" x14ac:dyDescent="0.3"/>
  <sheetData>
    <row r="8" spans="2:2" x14ac:dyDescent="0.3">
      <c r="B8" t="s">
        <v>52</v>
      </c>
    </row>
    <row r="32" spans="2:2" ht="21" x14ac:dyDescent="0.4">
      <c r="B32" s="1" t="s">
        <v>10</v>
      </c>
    </row>
    <row r="34" spans="2:13" ht="18" x14ac:dyDescent="0.35">
      <c r="B34" t="s">
        <v>32</v>
      </c>
      <c r="C34" s="4" t="s">
        <v>38</v>
      </c>
    </row>
    <row r="36" spans="2:13" ht="15" thickBot="1" x14ac:dyDescent="0.35">
      <c r="B36" t="s">
        <v>12</v>
      </c>
    </row>
    <row r="37" spans="2:13" ht="16.2" thickBot="1" x14ac:dyDescent="0.35">
      <c r="B37" t="s">
        <v>13</v>
      </c>
      <c r="C37" t="s">
        <v>14</v>
      </c>
      <c r="M37" s="14" t="s">
        <v>31</v>
      </c>
    </row>
    <row r="39" spans="2:13" x14ac:dyDescent="0.3">
      <c r="B39" s="13" t="s">
        <v>4</v>
      </c>
      <c r="C39" s="13" t="s">
        <v>5</v>
      </c>
      <c r="F39" s="9" t="s">
        <v>3</v>
      </c>
      <c r="G39" s="9" t="s">
        <v>23</v>
      </c>
      <c r="H39" s="9" t="s">
        <v>24</v>
      </c>
      <c r="I39" s="9" t="s">
        <v>25</v>
      </c>
      <c r="J39" s="9" t="s">
        <v>26</v>
      </c>
      <c r="K39" s="9" t="s">
        <v>27</v>
      </c>
      <c r="L39" s="9" t="s">
        <v>28</v>
      </c>
      <c r="M39" s="9" t="s">
        <v>7</v>
      </c>
    </row>
    <row r="40" spans="2:13" x14ac:dyDescent="0.3">
      <c r="B40" s="10">
        <v>1</v>
      </c>
      <c r="C40" s="15">
        <f>(B40^3)-((B40^2)*(EXP(-0.5*B40)))-(3*B40)+1</f>
        <v>-1.6065306597126332</v>
      </c>
      <c r="D40" t="s">
        <v>16</v>
      </c>
      <c r="F40" s="11">
        <v>0</v>
      </c>
      <c r="G40" s="6">
        <v>1</v>
      </c>
      <c r="H40" s="6">
        <v>2</v>
      </c>
      <c r="I40" s="6">
        <f>(G40+H40)/2</f>
        <v>1.5</v>
      </c>
      <c r="J40" s="6">
        <f>(G40^3)-((G40^2)*(EXP(-0.5*G40)))-(3*G40)+1</f>
        <v>-1.6065306597126332</v>
      </c>
      <c r="K40" s="6">
        <f>(H40^3)-((H40^2)*(EXP(-0.5*H40)))-(3*H40)+1</f>
        <v>1.5284822353142307</v>
      </c>
      <c r="L40" s="6">
        <f>(I40^3)-((I40^2)*(EXP(-0.5*I40)))-(3*I40)+1</f>
        <v>-1.1878247436672833</v>
      </c>
      <c r="M40" s="6">
        <v>9.9999999999999995E-7</v>
      </c>
    </row>
    <row r="41" spans="2:13" x14ac:dyDescent="0.3">
      <c r="B41" s="10">
        <v>2</v>
      </c>
      <c r="C41" s="15">
        <f>(B41^3)-((B41^2)*(EXP(-0.5*B41)))-(3*B41)+1</f>
        <v>1.5284822353142307</v>
      </c>
      <c r="D41" t="s">
        <v>15</v>
      </c>
      <c r="F41" s="11">
        <v>1</v>
      </c>
      <c r="G41" s="6">
        <f>I40</f>
        <v>1.5</v>
      </c>
      <c r="H41" s="6">
        <f>H40</f>
        <v>2</v>
      </c>
      <c r="I41" s="6">
        <f t="shared" ref="I41:I60" si="0">(G41+H41)/2</f>
        <v>1.75</v>
      </c>
      <c r="J41" s="6">
        <f t="shared" ref="J41:J60" si="1">(G41^3)-((G41^2)*(EXP(-0.5*G41)))-(3*G41)+1</f>
        <v>-1.1878247436672833</v>
      </c>
      <c r="K41" s="6">
        <f t="shared" ref="K41:K60" si="2">(H41^3)-((H41^2)*(EXP(-0.5*H41)))-(3*H41)+1</f>
        <v>1.5284822353142307</v>
      </c>
      <c r="L41" s="6">
        <f t="shared" ref="L41:L60" si="3">(I41^3)-((I41^2)*(EXP(-0.5*I41)))-(3*I41)+1</f>
        <v>-0.16726493526543162</v>
      </c>
    </row>
    <row r="42" spans="2:13" x14ac:dyDescent="0.3">
      <c r="B42" s="10">
        <v>3</v>
      </c>
      <c r="C42" s="6">
        <f t="shared" ref="C42:C44" si="4">(B42^3)-((B42^2)*(EXP(-0.5*B42)))-(3*B42)+1</f>
        <v>16.991828558664132</v>
      </c>
      <c r="F42" s="11">
        <v>2</v>
      </c>
      <c r="G42" s="6">
        <f>I41</f>
        <v>1.75</v>
      </c>
      <c r="H42" s="6">
        <f>H41</f>
        <v>2</v>
      </c>
      <c r="I42" s="6">
        <f t="shared" si="0"/>
        <v>1.875</v>
      </c>
      <c r="J42" s="6">
        <f t="shared" si="1"/>
        <v>-0.16726493526543162</v>
      </c>
      <c r="K42" s="6">
        <f t="shared" si="2"/>
        <v>1.5284822353142307</v>
      </c>
      <c r="L42" s="6">
        <f t="shared" si="3"/>
        <v>0.59005834371437871</v>
      </c>
    </row>
    <row r="43" spans="2:13" x14ac:dyDescent="0.3">
      <c r="B43" s="25">
        <v>4</v>
      </c>
      <c r="C43" s="26">
        <f t="shared" si="4"/>
        <v>50.834635468214195</v>
      </c>
      <c r="F43" s="11">
        <v>3</v>
      </c>
      <c r="G43" s="6">
        <f>G42</f>
        <v>1.75</v>
      </c>
      <c r="H43" s="6">
        <f>I42</f>
        <v>1.875</v>
      </c>
      <c r="I43" s="6">
        <f t="shared" si="0"/>
        <v>1.8125</v>
      </c>
      <c r="J43" s="6">
        <f t="shared" si="1"/>
        <v>-0.16726493526543162</v>
      </c>
      <c r="K43" s="6">
        <f t="shared" si="2"/>
        <v>0.59005834371437871</v>
      </c>
      <c r="L43" s="6">
        <f t="shared" si="3"/>
        <v>0.18952259218409928</v>
      </c>
    </row>
    <row r="44" spans="2:13" x14ac:dyDescent="0.3">
      <c r="B44" s="10">
        <v>5</v>
      </c>
      <c r="C44" s="6">
        <f t="shared" si="4"/>
        <v>108.94787503440253</v>
      </c>
      <c r="F44" s="11">
        <v>4</v>
      </c>
      <c r="G44" s="6">
        <f>G43</f>
        <v>1.75</v>
      </c>
      <c r="H44" s="6">
        <f>I43</f>
        <v>1.8125</v>
      </c>
      <c r="I44" s="6">
        <f t="shared" si="0"/>
        <v>1.78125</v>
      </c>
      <c r="J44" s="6">
        <f t="shared" si="1"/>
        <v>-0.16726493526543162</v>
      </c>
      <c r="K44" s="6">
        <f t="shared" si="2"/>
        <v>0.18952259218409928</v>
      </c>
      <c r="L44" s="6">
        <f t="shared" si="3"/>
        <v>5.7561880955994127E-3</v>
      </c>
    </row>
    <row r="45" spans="2:13" x14ac:dyDescent="0.3">
      <c r="F45" s="11">
        <v>5</v>
      </c>
      <c r="G45" s="6">
        <f>G44</f>
        <v>1.75</v>
      </c>
      <c r="H45" s="6">
        <f>I44</f>
        <v>1.78125</v>
      </c>
      <c r="I45" s="6">
        <f t="shared" si="0"/>
        <v>1.765625</v>
      </c>
      <c r="J45" s="6">
        <f t="shared" si="1"/>
        <v>-0.16726493526543162</v>
      </c>
      <c r="K45" s="6">
        <f t="shared" si="2"/>
        <v>5.7561880955994127E-3</v>
      </c>
      <c r="L45" s="6">
        <f t="shared" si="3"/>
        <v>-8.2085517878812908E-2</v>
      </c>
    </row>
    <row r="46" spans="2:13" x14ac:dyDescent="0.3">
      <c r="F46" s="11">
        <v>6</v>
      </c>
      <c r="G46" s="6">
        <f>I45</f>
        <v>1.765625</v>
      </c>
      <c r="H46" s="6">
        <f>H45</f>
        <v>1.78125</v>
      </c>
      <c r="I46" s="6">
        <f t="shared" si="0"/>
        <v>1.7734375</v>
      </c>
      <c r="J46" s="6">
        <f t="shared" si="1"/>
        <v>-8.2085517878812908E-2</v>
      </c>
      <c r="K46" s="6">
        <f t="shared" si="2"/>
        <v>5.7561880955994127E-3</v>
      </c>
      <c r="L46" s="6">
        <f t="shared" si="3"/>
        <v>-3.8498954300466792E-2</v>
      </c>
    </row>
    <row r="47" spans="2:13" x14ac:dyDescent="0.3">
      <c r="F47" s="11">
        <v>7</v>
      </c>
      <c r="G47" s="6">
        <f>I46</f>
        <v>1.7734375</v>
      </c>
      <c r="H47" s="6">
        <f>H46</f>
        <v>1.78125</v>
      </c>
      <c r="I47" s="6">
        <f t="shared" si="0"/>
        <v>1.77734375</v>
      </c>
      <c r="J47" s="6">
        <f t="shared" si="1"/>
        <v>-3.8498954300466792E-2</v>
      </c>
      <c r="K47" s="6">
        <f t="shared" si="2"/>
        <v>5.7561880955994127E-3</v>
      </c>
      <c r="L47" s="6">
        <f t="shared" si="3"/>
        <v>-1.6455143251628002E-2</v>
      </c>
    </row>
    <row r="48" spans="2:13" x14ac:dyDescent="0.3">
      <c r="B48" t="s">
        <v>17</v>
      </c>
      <c r="D48" t="s">
        <v>42</v>
      </c>
      <c r="E48" t="s">
        <v>43</v>
      </c>
      <c r="F48" s="11">
        <v>8</v>
      </c>
      <c r="G48" s="6">
        <f>I47</f>
        <v>1.77734375</v>
      </c>
      <c r="H48" s="6">
        <f>H47</f>
        <v>1.78125</v>
      </c>
      <c r="I48" s="6">
        <f t="shared" si="0"/>
        <v>1.779296875</v>
      </c>
      <c r="J48" s="6">
        <f t="shared" si="1"/>
        <v>-1.6455143251628002E-2</v>
      </c>
      <c r="K48" s="6">
        <f t="shared" si="2"/>
        <v>5.7561880955994127E-3</v>
      </c>
      <c r="L48" s="6">
        <f t="shared" si="3"/>
        <v>-5.3704410824852999E-3</v>
      </c>
    </row>
    <row r="49" spans="2:12" x14ac:dyDescent="0.3">
      <c r="F49" s="11">
        <v>9</v>
      </c>
      <c r="G49" s="6">
        <f>I48</f>
        <v>1.779296875</v>
      </c>
      <c r="H49" s="6">
        <f>H48</f>
        <v>1.78125</v>
      </c>
      <c r="I49" s="6">
        <f t="shared" si="0"/>
        <v>1.7802734375</v>
      </c>
      <c r="J49" s="6">
        <f t="shared" si="1"/>
        <v>-5.3704410824852999E-3</v>
      </c>
      <c r="K49" s="6">
        <f t="shared" si="2"/>
        <v>5.7561880955994127E-3</v>
      </c>
      <c r="L49" s="6">
        <f t="shared" si="3"/>
        <v>1.8762969750696357E-4</v>
      </c>
    </row>
    <row r="50" spans="2:12" x14ac:dyDescent="0.3">
      <c r="B50" t="s">
        <v>20</v>
      </c>
      <c r="C50" t="s">
        <v>21</v>
      </c>
      <c r="F50" s="11">
        <v>10</v>
      </c>
      <c r="G50" s="6">
        <f>G49</f>
        <v>1.779296875</v>
      </c>
      <c r="H50" s="6">
        <f>I49</f>
        <v>1.7802734375</v>
      </c>
      <c r="I50" s="6">
        <f t="shared" si="0"/>
        <v>1.77978515625</v>
      </c>
      <c r="J50" s="6">
        <f t="shared" si="1"/>
        <v>-5.3704410824852999E-3</v>
      </c>
      <c r="K50" s="6">
        <f t="shared" si="2"/>
        <v>1.8762969750696357E-4</v>
      </c>
      <c r="L50" s="6">
        <f t="shared" si="3"/>
        <v>-2.5927162781558266E-3</v>
      </c>
    </row>
    <row r="51" spans="2:12" x14ac:dyDescent="0.3">
      <c r="F51" s="11">
        <v>11</v>
      </c>
      <c r="G51" s="6">
        <f>I50</f>
        <v>1.77978515625</v>
      </c>
      <c r="H51" s="6">
        <f>H50</f>
        <v>1.7802734375</v>
      </c>
      <c r="I51" s="6">
        <f t="shared" si="0"/>
        <v>1.780029296875</v>
      </c>
      <c r="J51" s="6">
        <f t="shared" si="1"/>
        <v>-2.5927162781558266E-3</v>
      </c>
      <c r="K51" s="6">
        <f t="shared" si="2"/>
        <v>1.8762969750696357E-4</v>
      </c>
      <c r="L51" s="6">
        <f t="shared" si="3"/>
        <v>-1.2028709825662176E-3</v>
      </c>
    </row>
    <row r="52" spans="2:12" x14ac:dyDescent="0.3">
      <c r="C52" t="s">
        <v>22</v>
      </c>
      <c r="F52" s="11">
        <v>12</v>
      </c>
      <c r="G52" s="6">
        <f>I51</f>
        <v>1.780029296875</v>
      </c>
      <c r="H52" s="6">
        <f>H51</f>
        <v>1.7802734375</v>
      </c>
      <c r="I52" s="6">
        <f t="shared" si="0"/>
        <v>1.7801513671875</v>
      </c>
      <c r="J52" s="6">
        <f t="shared" si="1"/>
        <v>-1.2028709825662176E-3</v>
      </c>
      <c r="K52" s="6">
        <f t="shared" si="2"/>
        <v>1.8762969750696357E-4</v>
      </c>
      <c r="L52" s="6">
        <f t="shared" si="3"/>
        <v>-5.0770257131826924E-4</v>
      </c>
    </row>
    <row r="53" spans="2:12" x14ac:dyDescent="0.3">
      <c r="F53" s="11">
        <v>13</v>
      </c>
      <c r="G53" s="6">
        <f>I52</f>
        <v>1.7801513671875</v>
      </c>
      <c r="H53" s="6">
        <f>H52</f>
        <v>1.7802734375</v>
      </c>
      <c r="I53" s="6">
        <f t="shared" si="0"/>
        <v>1.78021240234375</v>
      </c>
      <c r="J53" s="6">
        <f t="shared" si="1"/>
        <v>-5.0770257131826924E-4</v>
      </c>
      <c r="K53" s="6">
        <f t="shared" si="2"/>
        <v>1.8762969750696357E-4</v>
      </c>
      <c r="L53" s="6">
        <f t="shared" si="3"/>
        <v>-1.6005691981924031E-4</v>
      </c>
    </row>
    <row r="54" spans="2:12" x14ac:dyDescent="0.3">
      <c r="F54" s="11">
        <v>14</v>
      </c>
      <c r="G54" s="6">
        <f>I53</f>
        <v>1.78021240234375</v>
      </c>
      <c r="H54" s="6">
        <f>H53</f>
        <v>1.7802734375</v>
      </c>
      <c r="I54" s="6">
        <f t="shared" si="0"/>
        <v>1.780242919921875</v>
      </c>
      <c r="J54" s="6">
        <f t="shared" si="1"/>
        <v>-1.6005691981924031E-4</v>
      </c>
      <c r="K54" s="6">
        <f t="shared" si="2"/>
        <v>1.8762969750696357E-4</v>
      </c>
      <c r="L54" s="6">
        <f t="shared" si="3"/>
        <v>1.3781268026313853E-5</v>
      </c>
    </row>
    <row r="55" spans="2:12" x14ac:dyDescent="0.3">
      <c r="B55" t="s">
        <v>29</v>
      </c>
      <c r="C55" t="s">
        <v>30</v>
      </c>
      <c r="F55" s="11">
        <v>15</v>
      </c>
      <c r="G55" s="6">
        <f>G54</f>
        <v>1.78021240234375</v>
      </c>
      <c r="H55" s="6">
        <f>I54</f>
        <v>1.780242919921875</v>
      </c>
      <c r="I55" s="6">
        <f t="shared" si="0"/>
        <v>1.7802276611328125</v>
      </c>
      <c r="J55" s="6">
        <f t="shared" si="1"/>
        <v>-1.6005691981924031E-4</v>
      </c>
      <c r="K55" s="6">
        <f t="shared" si="2"/>
        <v>1.3781268026313853E-5</v>
      </c>
      <c r="L55" s="6">
        <f t="shared" si="3"/>
        <v>-7.3139106088859762E-5</v>
      </c>
    </row>
    <row r="56" spans="2:12" x14ac:dyDescent="0.3">
      <c r="F56" s="11">
        <v>16</v>
      </c>
      <c r="G56" s="6">
        <f>I55</f>
        <v>1.7802276611328125</v>
      </c>
      <c r="H56" s="6">
        <f>H55</f>
        <v>1.780242919921875</v>
      </c>
      <c r="I56" s="6">
        <f t="shared" si="0"/>
        <v>1.7802352905273438</v>
      </c>
      <c r="J56" s="6">
        <f t="shared" si="1"/>
        <v>-7.3139106088859762E-5</v>
      </c>
      <c r="K56" s="6">
        <f t="shared" si="2"/>
        <v>1.3781268026313853E-5</v>
      </c>
      <c r="L56" s="6">
        <f t="shared" si="3"/>
        <v>-2.9679239080593334E-5</v>
      </c>
    </row>
    <row r="57" spans="2:12" x14ac:dyDescent="0.3">
      <c r="F57" s="11">
        <v>17</v>
      </c>
      <c r="G57" s="6">
        <f>I56</f>
        <v>1.7802352905273438</v>
      </c>
      <c r="H57" s="6">
        <f>H56</f>
        <v>1.780242919921875</v>
      </c>
      <c r="I57" s="6">
        <f t="shared" si="0"/>
        <v>1.7802391052246094</v>
      </c>
      <c r="J57" s="6">
        <f t="shared" si="1"/>
        <v>-2.9679239080593334E-5</v>
      </c>
      <c r="K57" s="6">
        <f t="shared" si="2"/>
        <v>1.3781268026313853E-5</v>
      </c>
      <c r="L57" s="6">
        <f t="shared" si="3"/>
        <v>-7.9490655400249466E-6</v>
      </c>
    </row>
    <row r="58" spans="2:12" x14ac:dyDescent="0.3">
      <c r="F58" s="11">
        <v>18</v>
      </c>
      <c r="G58" s="6">
        <f>I57</f>
        <v>1.7802391052246094</v>
      </c>
      <c r="H58" s="6">
        <f>H57</f>
        <v>1.780242919921875</v>
      </c>
      <c r="I58" s="6">
        <f t="shared" si="0"/>
        <v>1.7802410125732422</v>
      </c>
      <c r="J58" s="6">
        <f t="shared" si="1"/>
        <v>-7.9490655400249466E-6</v>
      </c>
      <c r="K58" s="6">
        <f t="shared" si="2"/>
        <v>1.3781268026313853E-5</v>
      </c>
      <c r="L58" s="6">
        <f t="shared" si="3"/>
        <v>2.9160812404782632E-6</v>
      </c>
    </row>
    <row r="59" spans="2:12" x14ac:dyDescent="0.3">
      <c r="F59" s="11">
        <v>19</v>
      </c>
      <c r="G59" s="6">
        <f>G58</f>
        <v>1.7802391052246094</v>
      </c>
      <c r="H59" s="6">
        <f>I58</f>
        <v>1.7802410125732422</v>
      </c>
      <c r="I59" s="6">
        <f t="shared" si="0"/>
        <v>1.7802400588989258</v>
      </c>
      <c r="J59" s="6">
        <f t="shared" si="1"/>
        <v>-7.9490655400249466E-6</v>
      </c>
      <c r="K59" s="6">
        <f t="shared" si="2"/>
        <v>2.9160812404782632E-6</v>
      </c>
      <c r="L59" s="6">
        <f t="shared" si="3"/>
        <v>-2.516497151106023E-6</v>
      </c>
    </row>
    <row r="60" spans="2:12" x14ac:dyDescent="0.3">
      <c r="F60" s="11">
        <v>20</v>
      </c>
      <c r="G60" s="6">
        <f>I59</f>
        <v>1.7802400588989258</v>
      </c>
      <c r="H60" s="6">
        <f>H59</f>
        <v>1.7802410125732422</v>
      </c>
      <c r="I60" s="7">
        <f t="shared" si="0"/>
        <v>1.780240535736084</v>
      </c>
      <c r="J60" s="6">
        <f t="shared" si="1"/>
        <v>-2.516497151106023E-6</v>
      </c>
      <c r="K60" s="6">
        <f t="shared" si="2"/>
        <v>2.9160812404782632E-6</v>
      </c>
      <c r="L60" s="15">
        <f t="shared" si="3"/>
        <v>1.9979079457499438E-7</v>
      </c>
    </row>
    <row r="61" spans="2:12" x14ac:dyDescent="0.3">
      <c r="I61" s="29" t="s">
        <v>53</v>
      </c>
    </row>
    <row r="65" spans="2:7" ht="21" x14ac:dyDescent="0.4">
      <c r="B65" s="1" t="s">
        <v>0</v>
      </c>
    </row>
    <row r="67" spans="2:7" ht="18" x14ac:dyDescent="0.35">
      <c r="B67" t="s">
        <v>32</v>
      </c>
      <c r="C67" s="4" t="s">
        <v>38</v>
      </c>
    </row>
    <row r="68" spans="2:7" ht="15.6" x14ac:dyDescent="0.3">
      <c r="C68" s="2"/>
    </row>
    <row r="69" spans="2:7" ht="18" x14ac:dyDescent="0.35">
      <c r="B69" t="s">
        <v>1</v>
      </c>
      <c r="C69" s="4" t="s">
        <v>39</v>
      </c>
    </row>
    <row r="72" spans="2:7" x14ac:dyDescent="0.3">
      <c r="F72" s="3" t="s">
        <v>8</v>
      </c>
      <c r="G72" s="3"/>
    </row>
    <row r="73" spans="2:7" x14ac:dyDescent="0.3">
      <c r="B73" s="9" t="s">
        <v>3</v>
      </c>
      <c r="C73" s="9" t="s">
        <v>4</v>
      </c>
      <c r="D73" s="9" t="s">
        <v>5</v>
      </c>
      <c r="E73" s="9" t="s">
        <v>6</v>
      </c>
      <c r="F73" s="9" t="s">
        <v>7</v>
      </c>
    </row>
    <row r="74" spans="2:7" x14ac:dyDescent="0.3">
      <c r="B74" s="5">
        <v>0</v>
      </c>
      <c r="C74" s="6">
        <v>2</v>
      </c>
      <c r="D74" s="6">
        <f>(C74^3)-((C74^2)*(EXP(-0.5*C74)))-(3*C74)+1</f>
        <v>1.5284822353142307</v>
      </c>
      <c r="E74" s="6">
        <f>(3*(C74^2))-(((2*C74)-(C74^2))*(EXP(-0.5*C74)))-3</f>
        <v>9</v>
      </c>
      <c r="F74" s="6">
        <v>9.9999999999999995E-7</v>
      </c>
    </row>
    <row r="75" spans="2:7" x14ac:dyDescent="0.3">
      <c r="B75" s="5">
        <v>1</v>
      </c>
      <c r="C75" s="6">
        <f>C74-(D74/E74)</f>
        <v>1.830168640520641</v>
      </c>
      <c r="D75" s="6">
        <f>(C75^3)-((C75^2)*(EXP(-0.5*C75)))-(3*C75)+1</f>
        <v>0.2982512802021926</v>
      </c>
      <c r="E75" s="6">
        <f>(3*(C75^2))-(((2*C75)-(C75^2))*(EXP(-0.5*C75)))-3</f>
        <v>6.9240736656485993</v>
      </c>
    </row>
    <row r="76" spans="2:7" x14ac:dyDescent="0.3">
      <c r="B76" s="5">
        <v>2</v>
      </c>
      <c r="C76" s="6">
        <f>C75-(D75/E75)</f>
        <v>1.7870941016575057</v>
      </c>
      <c r="D76" s="6">
        <f t="shared" ref="D76:D81" si="5">(C76^3)-((C76^2)*(EXP(-0.5*C76)))-(3*C76)+1</f>
        <v>3.9299948058298284E-2</v>
      </c>
      <c r="E76" s="6">
        <f t="shared" ref="E76:E81" si="6">(3*(C76^2))-(((2*C76)-(C76^2))*(EXP(-0.5*C76)))-3</f>
        <v>6.4254217390393897</v>
      </c>
    </row>
    <row r="77" spans="2:7" x14ac:dyDescent="0.3">
      <c r="B77" s="5">
        <v>3</v>
      </c>
      <c r="C77" s="6">
        <f t="shared" ref="C77:C81" si="7">C76-(D76/E76)</f>
        <v>1.7809777797016222</v>
      </c>
      <c r="D77" s="6">
        <f t="shared" si="5"/>
        <v>4.2028778696217017E-3</v>
      </c>
      <c r="E77" s="6">
        <f t="shared" si="6"/>
        <v>6.3555378375196732</v>
      </c>
    </row>
    <row r="78" spans="2:7" x14ac:dyDescent="0.3">
      <c r="B78" s="5">
        <v>4</v>
      </c>
      <c r="C78" s="6">
        <f>C77-(D77/E77)</f>
        <v>1.7803164858855725</v>
      </c>
      <c r="D78" s="6">
        <f t="shared" si="5"/>
        <v>4.328793567438538E-4</v>
      </c>
      <c r="E78" s="6">
        <f t="shared" si="6"/>
        <v>6.3479957796208222</v>
      </c>
    </row>
    <row r="79" spans="2:7" x14ac:dyDescent="0.3">
      <c r="B79" s="5">
        <v>5</v>
      </c>
      <c r="C79" s="6">
        <f t="shared" si="7"/>
        <v>1.7802482943851727</v>
      </c>
      <c r="D79" s="6">
        <f t="shared" si="5"/>
        <v>4.4397043788002577E-5</v>
      </c>
      <c r="E79" s="6">
        <f t="shared" si="6"/>
        <v>6.3472182080790187</v>
      </c>
    </row>
    <row r="80" spans="2:7" x14ac:dyDescent="0.3">
      <c r="B80" s="5">
        <v>6</v>
      </c>
      <c r="C80" s="6">
        <f t="shared" si="7"/>
        <v>1.7802412996605024</v>
      </c>
      <c r="D80" s="6">
        <f t="shared" si="5"/>
        <v>4.5514675424129791E-6</v>
      </c>
      <c r="E80" s="6">
        <f t="shared" si="6"/>
        <v>6.347138450503488</v>
      </c>
    </row>
    <row r="81" spans="2:11" x14ac:dyDescent="0.3">
      <c r="B81" s="5">
        <v>7</v>
      </c>
      <c r="C81" s="7">
        <f t="shared" si="7"/>
        <v>1.7802405825708125</v>
      </c>
      <c r="D81" s="24">
        <f t="shared" si="5"/>
        <v>4.6658349361905493E-7</v>
      </c>
      <c r="E81" s="6">
        <f t="shared" si="6"/>
        <v>6.3471302738819553</v>
      </c>
    </row>
    <row r="82" spans="2:11" x14ac:dyDescent="0.3">
      <c r="C82" s="29" t="s">
        <v>53</v>
      </c>
    </row>
    <row r="85" spans="2:11" ht="21" x14ac:dyDescent="0.4">
      <c r="B85" s="1" t="s">
        <v>11</v>
      </c>
    </row>
    <row r="87" spans="2:11" ht="18" x14ac:dyDescent="0.35">
      <c r="B87" t="s">
        <v>32</v>
      </c>
      <c r="C87" s="4" t="s">
        <v>38</v>
      </c>
    </row>
    <row r="89" spans="2:11" x14ac:dyDescent="0.3">
      <c r="B89" t="s">
        <v>33</v>
      </c>
    </row>
    <row r="91" spans="2:11" x14ac:dyDescent="0.3">
      <c r="B91" s="17" t="s">
        <v>4</v>
      </c>
      <c r="C91" s="17" t="s">
        <v>5</v>
      </c>
      <c r="F91" s="21" t="s">
        <v>3</v>
      </c>
      <c r="G91" s="21" t="s">
        <v>4</v>
      </c>
      <c r="H91" s="21" t="s">
        <v>5</v>
      </c>
      <c r="I91" s="21" t="s">
        <v>7</v>
      </c>
    </row>
    <row r="92" spans="2:11" x14ac:dyDescent="0.3">
      <c r="B92" s="18">
        <v>1</v>
      </c>
      <c r="C92" s="11">
        <f>(B92^3)-((B92^2)*(EXP(-0.5*B92)))-(3*B92)+1</f>
        <v>-1.6065306597126332</v>
      </c>
      <c r="D92" t="s">
        <v>16</v>
      </c>
      <c r="F92" s="22">
        <v>0</v>
      </c>
      <c r="G92" s="20">
        <v>1</v>
      </c>
      <c r="H92" s="20">
        <f>(G92^3)-((G92^2)*(EXP(-0.5*G92)))-(3*G92)+1</f>
        <v>-1.6065306597126332</v>
      </c>
      <c r="I92" s="6">
        <v>9.9999999999999995E-7</v>
      </c>
      <c r="K92" s="16" t="s">
        <v>37</v>
      </c>
    </row>
    <row r="93" spans="2:11" x14ac:dyDescent="0.3">
      <c r="B93" s="18">
        <v>2</v>
      </c>
      <c r="C93" s="11">
        <f t="shared" ref="C93:C96" si="8">(B93^3)-((B93^2)*(EXP(-0.5*B93)))-(3*B93)+1</f>
        <v>1.5284822353142307</v>
      </c>
      <c r="D93" t="s">
        <v>15</v>
      </c>
      <c r="F93" s="23">
        <v>1</v>
      </c>
      <c r="G93" s="6">
        <v>2</v>
      </c>
      <c r="H93" s="20">
        <f t="shared" ref="H93:H98" si="9">(G93^3)-((G93^2)*(EXP(-0.5*G93)))-(3*G93)+1</f>
        <v>1.5284822353142307</v>
      </c>
    </row>
    <row r="94" spans="2:11" x14ac:dyDescent="0.3">
      <c r="B94" s="18">
        <v>3</v>
      </c>
      <c r="C94" s="6">
        <f t="shared" si="8"/>
        <v>16.991828558664132</v>
      </c>
      <c r="F94" s="23">
        <v>2</v>
      </c>
      <c r="G94" s="6">
        <f>G93-((H93*(G93-G92))/(H93-H92))</f>
        <v>1.5124478633759708</v>
      </c>
      <c r="H94" s="20">
        <f t="shared" si="9"/>
        <v>-1.1514548029317089</v>
      </c>
    </row>
    <row r="95" spans="2:11" x14ac:dyDescent="0.3">
      <c r="B95" s="18">
        <v>4</v>
      </c>
      <c r="C95" s="6">
        <f t="shared" si="8"/>
        <v>50.834635468214195</v>
      </c>
      <c r="F95" s="23">
        <v>3</v>
      </c>
      <c r="G95" s="6">
        <f>G94-((H94*(G94-G93))/(H94-H93))</f>
        <v>1.7219282509311935</v>
      </c>
      <c r="H95" s="20">
        <f t="shared" si="9"/>
        <v>-0.31368603985038401</v>
      </c>
    </row>
    <row r="96" spans="2:11" x14ac:dyDescent="0.3">
      <c r="B96" s="18">
        <v>5</v>
      </c>
      <c r="C96" s="6">
        <f t="shared" si="8"/>
        <v>108.94787503440253</v>
      </c>
      <c r="F96" s="23">
        <v>4</v>
      </c>
      <c r="G96" s="6">
        <f>G95-((H95*(G95-G94))/(H95-H94))</f>
        <v>1.8003640629288087</v>
      </c>
      <c r="H96" s="6">
        <f t="shared" si="9"/>
        <v>0.11686846884061541</v>
      </c>
    </row>
    <row r="97" spans="2:8" x14ac:dyDescent="0.3">
      <c r="F97" s="22">
        <v>5</v>
      </c>
      <c r="G97" s="6">
        <f t="shared" ref="G97:G99" si="10">G96-((H96*(G96-G95))/(H96-H95))</f>
        <v>1.7790736732908026</v>
      </c>
      <c r="H97" s="6">
        <f>(G97^3)-((G97^2)*(EXP(-0.5*G97)))-(3*G97)+1</f>
        <v>-6.6393138449374334E-3</v>
      </c>
    </row>
    <row r="98" spans="2:8" x14ac:dyDescent="0.3">
      <c r="B98" t="s">
        <v>34</v>
      </c>
      <c r="D98" t="s">
        <v>40</v>
      </c>
      <c r="F98" s="23">
        <v>6</v>
      </c>
      <c r="G98" s="6">
        <f t="shared" si="10"/>
        <v>1.780218164557783</v>
      </c>
      <c r="H98" s="6">
        <f t="shared" si="9"/>
        <v>-1.2723423297789083E-4</v>
      </c>
    </row>
    <row r="99" spans="2:8" x14ac:dyDescent="0.3">
      <c r="D99" t="s">
        <v>41</v>
      </c>
      <c r="F99" s="23">
        <v>7</v>
      </c>
      <c r="G99" s="7">
        <f t="shared" si="10"/>
        <v>1.780240525842838</v>
      </c>
      <c r="H99" s="24">
        <f>(G99^3)-((G99^2)*(EXP(-0.5*G99)))-(3*G99)+1</f>
        <v>1.4343420229323556E-7</v>
      </c>
    </row>
    <row r="100" spans="2:8" x14ac:dyDescent="0.3">
      <c r="G100" s="29" t="s">
        <v>53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70662-455D-43EF-B234-A77223AFC99B}">
  <dimension ref="B8:M94"/>
  <sheetViews>
    <sheetView topLeftCell="A22" zoomScale="110" zoomScaleNormal="110" workbookViewId="0">
      <selection activeCell="I30" sqref="I30"/>
    </sheetView>
  </sheetViews>
  <sheetFormatPr baseColWidth="10" defaultRowHeight="14.4" x14ac:dyDescent="0.3"/>
  <sheetData>
    <row r="8" spans="3:3" x14ac:dyDescent="0.3">
      <c r="C8" t="s">
        <v>52</v>
      </c>
    </row>
    <row r="30" spans="2:3" ht="21" x14ac:dyDescent="0.4">
      <c r="B30" s="1" t="s">
        <v>10</v>
      </c>
    </row>
    <row r="32" spans="2:3" ht="18" x14ac:dyDescent="0.35">
      <c r="B32" t="s">
        <v>32</v>
      </c>
      <c r="C32" s="4" t="s">
        <v>44</v>
      </c>
    </row>
    <row r="34" spans="2:13" ht="15" thickBot="1" x14ac:dyDescent="0.35">
      <c r="B34" t="s">
        <v>12</v>
      </c>
    </row>
    <row r="35" spans="2:13" ht="16.2" thickBot="1" x14ac:dyDescent="0.35">
      <c r="B35" t="s">
        <v>13</v>
      </c>
      <c r="C35" t="s">
        <v>14</v>
      </c>
      <c r="M35" s="14" t="s">
        <v>31</v>
      </c>
    </row>
    <row r="37" spans="2:13" x14ac:dyDescent="0.3">
      <c r="B37" s="13" t="s">
        <v>4</v>
      </c>
      <c r="C37" s="13" t="s">
        <v>5</v>
      </c>
      <c r="F37" s="9" t="s">
        <v>3</v>
      </c>
      <c r="G37" s="9" t="s">
        <v>23</v>
      </c>
      <c r="H37" s="9" t="s">
        <v>24</v>
      </c>
      <c r="I37" s="9" t="s">
        <v>25</v>
      </c>
      <c r="J37" s="9" t="s">
        <v>26</v>
      </c>
      <c r="K37" s="9" t="s">
        <v>27</v>
      </c>
      <c r="L37" s="9" t="s">
        <v>28</v>
      </c>
      <c r="M37" s="9" t="s">
        <v>7</v>
      </c>
    </row>
    <row r="38" spans="2:13" x14ac:dyDescent="0.3">
      <c r="B38" s="10">
        <v>1</v>
      </c>
      <c r="C38" s="6">
        <f>((COS(B38))^2)-(0.5*B38*EXP(0.3*B38))+5</f>
        <v>4.6169971779384271</v>
      </c>
      <c r="F38" s="11">
        <v>0</v>
      </c>
      <c r="G38" s="6">
        <v>3</v>
      </c>
      <c r="H38" s="6">
        <v>4</v>
      </c>
      <c r="I38" s="6">
        <f>(G38+H38)/2</f>
        <v>3.5</v>
      </c>
      <c r="J38" s="6">
        <f>((COS(G38))^2)-(0.5*G38*EXP(0.3*G38))+5</f>
        <v>2.2906804765897588</v>
      </c>
      <c r="K38" s="6">
        <f>((COS(H38))^2)-(0.5*H38*EXP(0.3*H38))+5</f>
        <v>-1.212983862377401</v>
      </c>
      <c r="L38" s="6">
        <f>((COS(I38))^2)-(0.5*I38*EXP(0.3*I38))+5</f>
        <v>0.87606167056111595</v>
      </c>
      <c r="M38" s="6">
        <v>9.9999999999999995E-7</v>
      </c>
    </row>
    <row r="39" spans="2:13" x14ac:dyDescent="0.3">
      <c r="B39" s="10">
        <v>2</v>
      </c>
      <c r="C39" s="6">
        <f t="shared" ref="C39:C42" si="0">((COS(B39))^2)-(0.5*B39*EXP(0.3*B39))+5</f>
        <v>3.351059389177685</v>
      </c>
      <c r="F39" s="11">
        <v>1</v>
      </c>
      <c r="G39" s="6">
        <f>I38</f>
        <v>3.5</v>
      </c>
      <c r="H39" s="6">
        <f>H38</f>
        <v>4</v>
      </c>
      <c r="I39" s="6">
        <f t="shared" ref="I39:I57" si="1">(G39+H39)/2</f>
        <v>3.75</v>
      </c>
      <c r="J39" s="6">
        <f t="shared" ref="J39:J57" si="2">((COS(G39))^2)-(0.5*G39*EXP(0.3*G39))+5</f>
        <v>0.87606167056111595</v>
      </c>
      <c r="K39" s="6">
        <f t="shared" ref="K39:K57" si="3">((COS(H39))^2)-(0.5*H39*EXP(0.3*H39))+5</f>
        <v>-1.212983862377401</v>
      </c>
      <c r="L39" s="6">
        <f t="shared" ref="L39:L57" si="4">((COS(I39))^2)-(0.5*I39*EXP(0.3*I39))+5</f>
        <v>-0.10208893280379527</v>
      </c>
    </row>
    <row r="40" spans="2:13" x14ac:dyDescent="0.3">
      <c r="B40" s="10">
        <v>3</v>
      </c>
      <c r="C40" s="15">
        <f t="shared" si="0"/>
        <v>2.2906804765897588</v>
      </c>
      <c r="D40" t="s">
        <v>15</v>
      </c>
      <c r="F40" s="11">
        <v>2</v>
      </c>
      <c r="G40" s="6">
        <f>G39</f>
        <v>3.5</v>
      </c>
      <c r="H40" s="6">
        <f>I39</f>
        <v>3.75</v>
      </c>
      <c r="I40" s="6">
        <f t="shared" si="1"/>
        <v>3.625</v>
      </c>
      <c r="J40" s="6">
        <f t="shared" si="2"/>
        <v>0.87606167056111595</v>
      </c>
      <c r="K40" s="6">
        <f t="shared" si="3"/>
        <v>-0.10208893280379527</v>
      </c>
      <c r="L40" s="6">
        <f t="shared" si="4"/>
        <v>0.40655067707081294</v>
      </c>
    </row>
    <row r="41" spans="2:13" x14ac:dyDescent="0.3">
      <c r="B41" s="25">
        <v>4</v>
      </c>
      <c r="C41" s="15">
        <f t="shared" si="0"/>
        <v>-1.212983862377401</v>
      </c>
      <c r="D41" t="s">
        <v>16</v>
      </c>
      <c r="F41" s="11">
        <v>3</v>
      </c>
      <c r="G41" s="6">
        <f>I40</f>
        <v>3.625</v>
      </c>
      <c r="H41" s="6">
        <f>H40</f>
        <v>3.75</v>
      </c>
      <c r="I41" s="6">
        <f t="shared" si="1"/>
        <v>3.6875</v>
      </c>
      <c r="J41" s="6">
        <f t="shared" si="2"/>
        <v>0.40655067707081294</v>
      </c>
      <c r="K41" s="6">
        <f t="shared" si="3"/>
        <v>-0.10208893280379527</v>
      </c>
      <c r="L41" s="6">
        <f t="shared" si="4"/>
        <v>0.15677999132921183</v>
      </c>
    </row>
    <row r="42" spans="2:13" x14ac:dyDescent="0.3">
      <c r="B42" s="10">
        <v>5</v>
      </c>
      <c r="C42" s="6">
        <f t="shared" si="0"/>
        <v>-6.1237584403833871</v>
      </c>
      <c r="F42" s="11">
        <v>4</v>
      </c>
      <c r="G42" s="6">
        <f>I41</f>
        <v>3.6875</v>
      </c>
      <c r="H42" s="6">
        <f>H41</f>
        <v>3.75</v>
      </c>
      <c r="I42" s="6">
        <f t="shared" si="1"/>
        <v>3.71875</v>
      </c>
      <c r="J42" s="6">
        <f t="shared" si="2"/>
        <v>0.15677999132921183</v>
      </c>
      <c r="K42" s="6">
        <f t="shared" si="3"/>
        <v>-0.10208893280379527</v>
      </c>
      <c r="L42" s="6">
        <f t="shared" si="4"/>
        <v>2.8436804737782317E-2</v>
      </c>
    </row>
    <row r="43" spans="2:13" x14ac:dyDescent="0.3">
      <c r="F43" s="11">
        <v>5</v>
      </c>
      <c r="G43" s="6">
        <f>I42</f>
        <v>3.71875</v>
      </c>
      <c r="H43" s="6">
        <f>H42</f>
        <v>3.75</v>
      </c>
      <c r="I43" s="6">
        <f t="shared" si="1"/>
        <v>3.734375</v>
      </c>
      <c r="J43" s="6">
        <f t="shared" si="2"/>
        <v>2.8436804737782317E-2</v>
      </c>
      <c r="K43" s="6">
        <f t="shared" si="3"/>
        <v>-0.10208893280379527</v>
      </c>
      <c r="L43" s="6">
        <f t="shared" si="4"/>
        <v>-3.6559165284978157E-2</v>
      </c>
    </row>
    <row r="44" spans="2:13" x14ac:dyDescent="0.3">
      <c r="F44" s="11">
        <v>6</v>
      </c>
      <c r="G44" s="6">
        <f>G43</f>
        <v>3.71875</v>
      </c>
      <c r="H44" s="6">
        <f>I43</f>
        <v>3.734375</v>
      </c>
      <c r="I44" s="6">
        <f t="shared" si="1"/>
        <v>3.7265625</v>
      </c>
      <c r="J44" s="6">
        <f t="shared" si="2"/>
        <v>2.8436804737782317E-2</v>
      </c>
      <c r="K44" s="6">
        <f t="shared" si="3"/>
        <v>-3.6559165284978157E-2</v>
      </c>
      <c r="L44" s="6">
        <f t="shared" si="4"/>
        <v>-3.9937086888297557E-3</v>
      </c>
    </row>
    <row r="45" spans="2:13" x14ac:dyDescent="0.3">
      <c r="F45" s="11">
        <v>7</v>
      </c>
      <c r="G45" s="6">
        <f>G44</f>
        <v>3.71875</v>
      </c>
      <c r="H45" s="6">
        <f>I44</f>
        <v>3.7265625</v>
      </c>
      <c r="I45" s="6">
        <f t="shared" si="1"/>
        <v>3.72265625</v>
      </c>
      <c r="J45" s="6">
        <f t="shared" si="2"/>
        <v>2.8436804737782317E-2</v>
      </c>
      <c r="K45" s="6">
        <f t="shared" si="3"/>
        <v>-3.9937086888297557E-3</v>
      </c>
      <c r="L45" s="6">
        <f t="shared" si="4"/>
        <v>1.2238508701804207E-2</v>
      </c>
    </row>
    <row r="46" spans="2:13" x14ac:dyDescent="0.3">
      <c r="B46" t="s">
        <v>17</v>
      </c>
      <c r="D46" t="s">
        <v>45</v>
      </c>
      <c r="E46" t="s">
        <v>46</v>
      </c>
      <c r="F46" s="11">
        <v>8</v>
      </c>
      <c r="G46" s="6">
        <f>I45</f>
        <v>3.72265625</v>
      </c>
      <c r="H46" s="6">
        <f>H45</f>
        <v>3.7265625</v>
      </c>
      <c r="I46" s="6">
        <f t="shared" si="1"/>
        <v>3.724609375</v>
      </c>
      <c r="J46" s="6">
        <f t="shared" si="2"/>
        <v>1.2238508701804207E-2</v>
      </c>
      <c r="K46" s="6">
        <f t="shared" si="3"/>
        <v>-3.9937086888297557E-3</v>
      </c>
      <c r="L46" s="6">
        <f t="shared" si="4"/>
        <v>4.1266286048040612E-3</v>
      </c>
    </row>
    <row r="47" spans="2:13" x14ac:dyDescent="0.3">
      <c r="F47" s="11">
        <v>9</v>
      </c>
      <c r="G47" s="6">
        <f>I46</f>
        <v>3.724609375</v>
      </c>
      <c r="H47" s="6">
        <f>H46</f>
        <v>3.7265625</v>
      </c>
      <c r="I47" s="6">
        <f t="shared" si="1"/>
        <v>3.7255859375</v>
      </c>
      <c r="J47" s="6">
        <f t="shared" si="2"/>
        <v>4.1266286048040612E-3</v>
      </c>
      <c r="K47" s="6">
        <f t="shared" si="3"/>
        <v>-3.9937086888297557E-3</v>
      </c>
      <c r="L47" s="6">
        <f t="shared" si="4"/>
        <v>6.7515658837891124E-5</v>
      </c>
    </row>
    <row r="48" spans="2:13" x14ac:dyDescent="0.3">
      <c r="B48" t="s">
        <v>20</v>
      </c>
      <c r="C48" t="s">
        <v>21</v>
      </c>
      <c r="F48" s="11">
        <v>10</v>
      </c>
      <c r="G48" s="6">
        <f>I47</f>
        <v>3.7255859375</v>
      </c>
      <c r="H48" s="6">
        <f>H47</f>
        <v>3.7265625</v>
      </c>
      <c r="I48" s="6">
        <f t="shared" si="1"/>
        <v>3.72607421875</v>
      </c>
      <c r="J48" s="6">
        <f t="shared" si="2"/>
        <v>6.7515658837891124E-5</v>
      </c>
      <c r="K48" s="6">
        <f t="shared" si="3"/>
        <v>-3.9937086888297557E-3</v>
      </c>
      <c r="L48" s="6">
        <f t="shared" si="4"/>
        <v>-1.9628327710181637E-3</v>
      </c>
    </row>
    <row r="49" spans="2:12" x14ac:dyDescent="0.3">
      <c r="F49" s="11">
        <v>11</v>
      </c>
      <c r="G49" s="6">
        <f>G48</f>
        <v>3.7255859375</v>
      </c>
      <c r="H49" s="6">
        <f>I48</f>
        <v>3.72607421875</v>
      </c>
      <c r="I49" s="6">
        <f t="shared" si="1"/>
        <v>3.725830078125</v>
      </c>
      <c r="J49" s="6">
        <f t="shared" si="2"/>
        <v>6.7515658837891124E-5</v>
      </c>
      <c r="K49" s="6">
        <f t="shared" si="3"/>
        <v>-1.9628327710181637E-3</v>
      </c>
      <c r="L49" s="6">
        <f t="shared" si="4"/>
        <v>-9.47592597435154E-4</v>
      </c>
    </row>
    <row r="50" spans="2:12" x14ac:dyDescent="0.3">
      <c r="C50" t="s">
        <v>22</v>
      </c>
      <c r="F50" s="11">
        <v>12</v>
      </c>
      <c r="G50" s="6">
        <f>G49</f>
        <v>3.7255859375</v>
      </c>
      <c r="H50" s="6">
        <f>I49</f>
        <v>3.725830078125</v>
      </c>
      <c r="I50" s="6">
        <f t="shared" si="1"/>
        <v>3.7257080078125</v>
      </c>
      <c r="J50" s="6">
        <f t="shared" si="2"/>
        <v>6.7515658837891124E-5</v>
      </c>
      <c r="K50" s="6">
        <f t="shared" si="3"/>
        <v>-9.47592597435154E-4</v>
      </c>
      <c r="L50" s="6">
        <f t="shared" si="4"/>
        <v>-4.4002197680192978E-4</v>
      </c>
    </row>
    <row r="51" spans="2:12" x14ac:dyDescent="0.3">
      <c r="F51" s="11">
        <v>13</v>
      </c>
      <c r="G51" s="6">
        <f>G50</f>
        <v>3.7255859375</v>
      </c>
      <c r="H51" s="6">
        <f>I50</f>
        <v>3.7257080078125</v>
      </c>
      <c r="I51" s="6">
        <f t="shared" si="1"/>
        <v>3.72564697265625</v>
      </c>
      <c r="J51" s="6">
        <f t="shared" si="2"/>
        <v>6.7515658837891124E-5</v>
      </c>
      <c r="K51" s="6">
        <f t="shared" si="3"/>
        <v>-4.4002197680192978E-4</v>
      </c>
      <c r="L51" s="6">
        <f t="shared" si="4"/>
        <v>-1.8624903550357175E-4</v>
      </c>
    </row>
    <row r="52" spans="2:12" x14ac:dyDescent="0.3">
      <c r="F52" s="11">
        <v>14</v>
      </c>
      <c r="G52" s="6">
        <f>G51</f>
        <v>3.7255859375</v>
      </c>
      <c r="H52" s="6">
        <f>I51</f>
        <v>3.72564697265625</v>
      </c>
      <c r="I52" s="6">
        <f t="shared" si="1"/>
        <v>3.725616455078125</v>
      </c>
      <c r="J52" s="6">
        <f t="shared" si="2"/>
        <v>6.7515658837891124E-5</v>
      </c>
      <c r="K52" s="6">
        <f t="shared" si="3"/>
        <v>-1.8624903550357175E-4</v>
      </c>
      <c r="L52" s="6">
        <f t="shared" si="4"/>
        <v>-5.9365657417487228E-5</v>
      </c>
    </row>
    <row r="53" spans="2:12" x14ac:dyDescent="0.3">
      <c r="B53" t="s">
        <v>29</v>
      </c>
      <c r="C53" t="s">
        <v>30</v>
      </c>
      <c r="F53" s="11">
        <v>15</v>
      </c>
      <c r="G53" s="6">
        <f>G52</f>
        <v>3.7255859375</v>
      </c>
      <c r="H53" s="6">
        <f>I52</f>
        <v>3.725616455078125</v>
      </c>
      <c r="I53" s="6">
        <f t="shared" si="1"/>
        <v>3.7256011962890625</v>
      </c>
      <c r="J53" s="6">
        <f t="shared" si="2"/>
        <v>6.7515658837891124E-5</v>
      </c>
      <c r="K53" s="6">
        <f t="shared" si="3"/>
        <v>-5.9365657417487228E-5</v>
      </c>
      <c r="L53" s="6">
        <f t="shared" si="4"/>
        <v>4.0752584435921335E-6</v>
      </c>
    </row>
    <row r="54" spans="2:12" x14ac:dyDescent="0.3">
      <c r="F54" s="11">
        <v>16</v>
      </c>
      <c r="G54" s="6">
        <f>I53</f>
        <v>3.7256011962890625</v>
      </c>
      <c r="H54" s="6">
        <f>H53</f>
        <v>3.725616455078125</v>
      </c>
      <c r="I54" s="6">
        <f t="shared" si="1"/>
        <v>3.7256088256835938</v>
      </c>
      <c r="J54" s="6">
        <f t="shared" si="2"/>
        <v>4.0752584435921335E-6</v>
      </c>
      <c r="K54" s="6">
        <f t="shared" si="3"/>
        <v>-5.9365657417487228E-5</v>
      </c>
      <c r="L54" s="6">
        <f t="shared" si="4"/>
        <v>-2.764513505404409E-5</v>
      </c>
    </row>
    <row r="55" spans="2:12" x14ac:dyDescent="0.3">
      <c r="F55" s="11">
        <v>17</v>
      </c>
      <c r="G55" s="6">
        <f>G54</f>
        <v>3.7256011962890625</v>
      </c>
      <c r="H55" s="6">
        <f>I54</f>
        <v>3.7256088256835938</v>
      </c>
      <c r="I55" s="6">
        <f t="shared" si="1"/>
        <v>3.7256050109863281</v>
      </c>
      <c r="J55" s="6">
        <f t="shared" si="2"/>
        <v>4.0752584435921335E-6</v>
      </c>
      <c r="K55" s="6">
        <f t="shared" si="3"/>
        <v>-2.764513505404409E-5</v>
      </c>
      <c r="L55" s="6">
        <f t="shared" si="4"/>
        <v>-1.1784922197222159E-5</v>
      </c>
    </row>
    <row r="56" spans="2:12" x14ac:dyDescent="0.3">
      <c r="F56" s="11">
        <v>18</v>
      </c>
      <c r="G56" s="6">
        <f>G55</f>
        <v>3.7256011962890625</v>
      </c>
      <c r="H56" s="6">
        <f>I55</f>
        <v>3.7256050109863281</v>
      </c>
      <c r="I56" s="6">
        <f t="shared" si="1"/>
        <v>3.7256031036376953</v>
      </c>
      <c r="J56" s="6">
        <f t="shared" si="2"/>
        <v>4.0752584435921335E-6</v>
      </c>
      <c r="K56" s="6">
        <f t="shared" si="3"/>
        <v>-1.1784922197222159E-5</v>
      </c>
      <c r="L56" s="6">
        <f t="shared" si="4"/>
        <v>-3.8548278489258792E-6</v>
      </c>
    </row>
    <row r="57" spans="2:12" x14ac:dyDescent="0.3">
      <c r="F57" s="11">
        <v>19</v>
      </c>
      <c r="G57" s="6">
        <f>G56</f>
        <v>3.7256011962890625</v>
      </c>
      <c r="H57" s="6">
        <f>I56</f>
        <v>3.7256031036376953</v>
      </c>
      <c r="I57" s="7">
        <f t="shared" si="1"/>
        <v>3.7256021499633789</v>
      </c>
      <c r="J57" s="6">
        <f t="shared" si="2"/>
        <v>4.0752584435921335E-6</v>
      </c>
      <c r="K57" s="6">
        <f t="shared" si="3"/>
        <v>-3.8548278489258792E-6</v>
      </c>
      <c r="L57" s="15">
        <f t="shared" si="4"/>
        <v>1.1021630541563354E-7</v>
      </c>
    </row>
    <row r="58" spans="2:12" x14ac:dyDescent="0.3">
      <c r="I58" s="29" t="s">
        <v>53</v>
      </c>
    </row>
    <row r="63" spans="2:12" ht="21" x14ac:dyDescent="0.4">
      <c r="B63" s="1" t="s">
        <v>0</v>
      </c>
    </row>
    <row r="65" spans="2:7" ht="18" x14ac:dyDescent="0.35">
      <c r="B65" t="s">
        <v>32</v>
      </c>
      <c r="C65" s="4" t="s">
        <v>44</v>
      </c>
    </row>
    <row r="66" spans="2:7" ht="15.6" x14ac:dyDescent="0.3">
      <c r="C66" s="2"/>
    </row>
    <row r="67" spans="2:7" ht="18" x14ac:dyDescent="0.35">
      <c r="B67" t="s">
        <v>1</v>
      </c>
      <c r="C67" s="4" t="s">
        <v>39</v>
      </c>
    </row>
    <row r="70" spans="2:7" x14ac:dyDescent="0.3">
      <c r="F70" s="3" t="s">
        <v>8</v>
      </c>
      <c r="G70" s="3"/>
    </row>
    <row r="71" spans="2:7" x14ac:dyDescent="0.3">
      <c r="B71" s="9" t="s">
        <v>3</v>
      </c>
      <c r="C71" s="9" t="s">
        <v>4</v>
      </c>
      <c r="D71" s="9" t="s">
        <v>5</v>
      </c>
      <c r="E71" s="9" t="s">
        <v>6</v>
      </c>
      <c r="F71" s="9" t="s">
        <v>7</v>
      </c>
    </row>
    <row r="72" spans="2:7" x14ac:dyDescent="0.3">
      <c r="B72" s="5">
        <v>0</v>
      </c>
      <c r="C72" s="6">
        <v>3</v>
      </c>
      <c r="D72" s="6">
        <f>((COS(C72))^2)-(0.5*C72*EXP(0.3*C72))+5</f>
        <v>2.2906804765897588</v>
      </c>
      <c r="E72" s="6">
        <f>(-2*COS(C72)*SIN(C72))-((0.5*EXP(0.3*C72))*(1+(0.3*C72)))</f>
        <v>-2.057207457400176</v>
      </c>
      <c r="F72" s="6">
        <v>9.9999999999999995E-7</v>
      </c>
    </row>
    <row r="73" spans="2:7" x14ac:dyDescent="0.3">
      <c r="B73" s="5">
        <v>1</v>
      </c>
      <c r="C73" s="6">
        <f>C72-(D72/E72)</f>
        <v>4.1134902648489504</v>
      </c>
      <c r="D73" s="6">
        <f t="shared" ref="D73:D76" si="5">((COS(C73))^2)-(0.5*C73*EXP(0.3*C73))+5</f>
        <v>-1.7473374442184539</v>
      </c>
      <c r="E73" s="6">
        <f t="shared" ref="E73:E76" si="6">(-2*COS(C73)*SIN(C73))-((0.5*EXP(0.3*C73))*(1+(0.3*C73)))</f>
        <v>-4.7683302679123969</v>
      </c>
    </row>
    <row r="74" spans="2:7" x14ac:dyDescent="0.3">
      <c r="B74" s="5">
        <v>2</v>
      </c>
      <c r="C74" s="6">
        <f>C73-(D73/E73)</f>
        <v>3.7470438683027965</v>
      </c>
      <c r="D74" s="6">
        <f t="shared" si="5"/>
        <v>-8.9650810797873071E-2</v>
      </c>
      <c r="E74" s="6">
        <f t="shared" si="6"/>
        <v>-4.2043988793151117</v>
      </c>
    </row>
    <row r="75" spans="2:7" x14ac:dyDescent="0.3">
      <c r="B75" s="5">
        <v>3</v>
      </c>
      <c r="C75" s="6">
        <f t="shared" ref="C75" si="7">C74-(D74/E74)</f>
        <v>3.7257207699547927</v>
      </c>
      <c r="D75" s="6">
        <f t="shared" si="5"/>
        <v>-4.9308565697803175E-4</v>
      </c>
      <c r="E75" s="6">
        <f t="shared" si="6"/>
        <v>-4.1579116752682959</v>
      </c>
    </row>
    <row r="76" spans="2:7" x14ac:dyDescent="0.3">
      <c r="B76" s="5">
        <v>4</v>
      </c>
      <c r="C76" s="7">
        <f>C75-(D75/E75)</f>
        <v>3.7256021802166051</v>
      </c>
      <c r="D76" s="8">
        <f t="shared" si="5"/>
        <v>-1.5565994715416309E-8</v>
      </c>
      <c r="E76" s="6">
        <f t="shared" si="6"/>
        <v>-4.1576491495827099</v>
      </c>
    </row>
    <row r="77" spans="2:7" x14ac:dyDescent="0.3">
      <c r="C77" s="29" t="s">
        <v>53</v>
      </c>
    </row>
    <row r="80" spans="2:7" ht="21" x14ac:dyDescent="0.4">
      <c r="B80" s="1" t="s">
        <v>11</v>
      </c>
    </row>
    <row r="82" spans="2:11" ht="18" x14ac:dyDescent="0.35">
      <c r="B82" t="s">
        <v>32</v>
      </c>
      <c r="C82" s="4" t="s">
        <v>44</v>
      </c>
    </row>
    <row r="84" spans="2:11" x14ac:dyDescent="0.3">
      <c r="B84" t="s">
        <v>33</v>
      </c>
    </row>
    <row r="86" spans="2:11" x14ac:dyDescent="0.3">
      <c r="B86" s="17" t="s">
        <v>4</v>
      </c>
      <c r="C86" s="17" t="s">
        <v>5</v>
      </c>
      <c r="F86" s="21" t="s">
        <v>3</v>
      </c>
      <c r="G86" s="21" t="s">
        <v>4</v>
      </c>
      <c r="H86" s="21" t="s">
        <v>5</v>
      </c>
      <c r="I86" s="21" t="s">
        <v>7</v>
      </c>
    </row>
    <row r="87" spans="2:11" x14ac:dyDescent="0.3">
      <c r="B87" s="18">
        <v>1</v>
      </c>
      <c r="C87" s="11">
        <f>((COS(B87))^2)-(0.5*B87*EXP(0.3*B87))+5</f>
        <v>4.6169971779384271</v>
      </c>
      <c r="F87" s="22">
        <v>0</v>
      </c>
      <c r="G87" s="20">
        <v>3</v>
      </c>
      <c r="H87" s="20">
        <f>((COS(G87))^2)-(0.5*G87*EXP(0.3*G87))+5</f>
        <v>2.2906804765897588</v>
      </c>
      <c r="I87" s="6">
        <v>9.9999999999999995E-7</v>
      </c>
      <c r="K87" s="16" t="s">
        <v>37</v>
      </c>
    </row>
    <row r="88" spans="2:11" x14ac:dyDescent="0.3">
      <c r="B88" s="18">
        <v>2</v>
      </c>
      <c r="C88" s="11">
        <f t="shared" ref="C88:C91" si="8">((COS(B88))^2)-(0.5*B88*EXP(0.3*B88))+5</f>
        <v>3.351059389177685</v>
      </c>
      <c r="F88" s="23">
        <v>1</v>
      </c>
      <c r="G88" s="6">
        <v>4</v>
      </c>
      <c r="H88" s="20">
        <f t="shared" ref="H88:H93" si="9">((COS(G88))^2)-(0.5*G88*EXP(0.3*G88))+5</f>
        <v>-1.212983862377401</v>
      </c>
    </row>
    <row r="89" spans="2:11" x14ac:dyDescent="0.3">
      <c r="B89" s="18">
        <v>3</v>
      </c>
      <c r="C89" s="11">
        <f t="shared" si="8"/>
        <v>2.2906804765897588</v>
      </c>
      <c r="D89" t="s">
        <v>15</v>
      </c>
      <c r="F89" s="23">
        <v>2</v>
      </c>
      <c r="G89" s="6">
        <f>G88-((H88*(G88-G87))/(H88-H87))</f>
        <v>3.6537956422118407</v>
      </c>
      <c r="H89" s="20">
        <f t="shared" si="9"/>
        <v>0.29265006210311029</v>
      </c>
    </row>
    <row r="90" spans="2:11" x14ac:dyDescent="0.3">
      <c r="B90" s="18">
        <v>4</v>
      </c>
      <c r="C90" s="11">
        <f t="shared" si="8"/>
        <v>-1.212983862377401</v>
      </c>
      <c r="D90" t="s">
        <v>16</v>
      </c>
      <c r="F90" s="23">
        <v>3</v>
      </c>
      <c r="G90" s="6">
        <f>G89-((H89*(G89-G88))/(H89-H88))</f>
        <v>3.7210873823617776</v>
      </c>
      <c r="H90" s="20">
        <f t="shared" si="9"/>
        <v>1.8748318639778994E-2</v>
      </c>
    </row>
    <row r="91" spans="2:11" x14ac:dyDescent="0.3">
      <c r="B91" s="18">
        <v>5</v>
      </c>
      <c r="C91" s="11">
        <f t="shared" si="8"/>
        <v>-6.1237584403833871</v>
      </c>
      <c r="F91" s="23">
        <v>4</v>
      </c>
      <c r="G91" s="6">
        <f>G90-((H90*(G90-G89))/(H90-H89))</f>
        <v>3.7256934391550054</v>
      </c>
      <c r="H91" s="20">
        <f t="shared" si="9"/>
        <v>-3.794474321878738E-4</v>
      </c>
    </row>
    <row r="92" spans="2:11" x14ac:dyDescent="0.3">
      <c r="F92" s="22">
        <v>5</v>
      </c>
      <c r="G92" s="6">
        <f t="shared" ref="G92:G93" si="10">G91-((H91*(G91-G90))/(H91-H90))</f>
        <v>3.7256020664136131</v>
      </c>
      <c r="H92" s="20">
        <f t="shared" si="9"/>
        <v>4.5758690347952324E-7</v>
      </c>
    </row>
    <row r="93" spans="2:11" x14ac:dyDescent="0.3">
      <c r="B93" t="s">
        <v>34</v>
      </c>
      <c r="D93" t="s">
        <v>47</v>
      </c>
      <c r="F93" s="23">
        <v>6</v>
      </c>
      <c r="G93" s="7">
        <f t="shared" si="10"/>
        <v>3.7256021764699896</v>
      </c>
      <c r="H93" s="8">
        <f t="shared" si="9"/>
        <v>1.1117329279386468E-11</v>
      </c>
    </row>
    <row r="94" spans="2:11" x14ac:dyDescent="0.3">
      <c r="D94" t="s">
        <v>48</v>
      </c>
      <c r="G94" s="29" t="s">
        <v>53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EJERCICIO_1</vt:lpstr>
      <vt:lpstr>EJERCICIO_2</vt:lpstr>
      <vt:lpstr>EJERCICIO_3</vt:lpstr>
      <vt:lpstr>EJERCICIO_4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Paviliom Ryzen 5</dc:creator>
  <cp:lastModifiedBy>Hp Paviliom Ryzen 5</cp:lastModifiedBy>
  <dcterms:created xsi:type="dcterms:W3CDTF">2025-11-17T03:47:06Z</dcterms:created>
  <dcterms:modified xsi:type="dcterms:W3CDTF">2025-12-01T00:42:10Z</dcterms:modified>
</cp:coreProperties>
</file>